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Rollup" sheetId="1" state="visible" r:id="rId1"/>
    <sheet name="Detail" sheetId="2" state="visible" r:id="rId2"/>
  </sheets>
  <definedNames>
    <definedName name="_xlnm._FilterDatabase" localSheetId="1" hidden="1">'Detail'!$A$1:$I$124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$#,##0.00"/>
    <numFmt numFmtId="166" formatCode="m/d/yyyy"/>
  </numFmts>
  <fonts count="3">
    <font>
      <name val="Calibri"/>
      <family val="2"/>
      <color theme="1"/>
      <sz val="11"/>
      <scheme val="minor"/>
    </font>
    <font>
      <b val="1"/>
      <sz val="16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/>
    </xf>
    <xf numFmtId="165" fontId="2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166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BilledOrgYearRollup" displayName="BilledOrgYearRollup" ref="A10:F30" headerRowCount="1">
  <autoFilter ref="A10:F30"/>
  <tableColumns count="6">
    <tableColumn id="1" name="Billed Org"/>
    <tableColumn id="2" name="Case Year"/>
    <tableColumn id="3" name="Cases"/>
    <tableColumn id="4" name="Cases with Cost"/>
    <tableColumn id="5" name="Cases with Date Closed"/>
    <tableColumn id="6" name="Total Cost"/>
  </tableColumns>
  <tableStyleInfo name="TableStyleMedium4" showRowStripes="1" showColumnStripes="0"/>
</table>
</file>

<file path=xl/tables/table2.xml><?xml version="1.0" encoding="utf-8"?>
<table xmlns="http://schemas.openxmlformats.org/spreadsheetml/2006/main" id="2" name="BilledOrgRollup" displayName="BilledOrgRollup" ref="A33:E41" headerRowCount="1">
  <autoFilter ref="A33:E41"/>
  <tableColumns count="5">
    <tableColumn id="1" name="Billed Org Total"/>
    <tableColumn id="2" name="Cases"/>
    <tableColumn id="3" name="Cases with Cost"/>
    <tableColumn id="4" name="Cases with Date Closed"/>
    <tableColumn id="5" name="Total Cost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AccidentAbuseDetail" displayName="AccidentAbuseDetail" ref="A1:I124" headerRowCount="1">
  <autoFilter ref="A1:I124"/>
  <tableColumns count="9">
    <tableColumn id="1" name="Reg#"/>
    <tableColumn id="2" name="Veh type"/>
    <tableColumn id="3" name="Assigned Org"/>
    <tableColumn id="4" name="Billed Org"/>
    <tableColumn id="5" name="Case number"/>
    <tableColumn id="6" name="Description of damage"/>
    <tableColumn id="7" name="Date Opened"/>
    <tableColumn id="8" name="Cost"/>
    <tableColumn id="9" name="Date Closed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8" customWidth="1" min="4" max="4"/>
    <col width="22" customWidth="1" min="5" max="5"/>
    <col width="16" customWidth="1" min="6" max="6"/>
  </cols>
  <sheetData>
    <row r="1">
      <c r="A1" s="1" t="inlineStr">
        <is>
          <t>5 MXG 2 Year Accident/Abuse Summary Rollup</t>
        </is>
      </c>
      <c r="B1" s="1" t="n"/>
      <c r="C1" s="1" t="n"/>
      <c r="D1" s="1" t="n"/>
      <c r="E1" s="1" t="n"/>
      <c r="F1" s="1" t="n"/>
    </row>
    <row r="2">
      <c r="A2" s="2" t="n"/>
      <c r="B2" s="2" t="n"/>
      <c r="C2" s="2" t="n"/>
      <c r="D2" s="2" t="n"/>
      <c r="E2" s="2" t="n"/>
      <c r="F2" s="2" t="n"/>
    </row>
    <row r="3">
      <c r="A3" s="2" t="inlineStr">
        <is>
          <t>Total cases</t>
        </is>
      </c>
      <c r="B3" s="2" t="n">
        <v>123</v>
      </c>
      <c r="C3" s="2" t="n"/>
      <c r="D3" s="2" t="n"/>
      <c r="E3" s="2" t="n"/>
      <c r="F3" s="2" t="n"/>
    </row>
    <row r="4">
      <c r="A4" s="2" t="inlineStr">
        <is>
          <t>Matched cases</t>
        </is>
      </c>
      <c r="B4" s="2" t="n">
        <v>123</v>
      </c>
      <c r="C4" s="2" t="n"/>
      <c r="D4" s="2" t="n"/>
      <c r="E4" s="2" t="n"/>
      <c r="F4" s="2" t="n"/>
    </row>
    <row r="5">
      <c r="A5" s="2" t="inlineStr">
        <is>
          <t>Cases with cost</t>
        </is>
      </c>
      <c r="B5" s="2" t="n">
        <v>109</v>
      </c>
      <c r="C5" s="2" t="n"/>
      <c r="D5" s="2" t="n"/>
      <c r="E5" s="2" t="n"/>
      <c r="F5" s="2" t="n"/>
    </row>
    <row r="6">
      <c r="A6" s="2" t="inlineStr">
        <is>
          <t>Cases with date closed</t>
        </is>
      </c>
      <c r="B6" s="2" t="n">
        <v>19</v>
      </c>
      <c r="C6" s="2" t="n"/>
      <c r="D6" s="2" t="n"/>
      <c r="E6" s="2" t="n"/>
      <c r="F6" s="2" t="n"/>
    </row>
    <row r="7">
      <c r="A7" s="2" t="inlineStr">
        <is>
          <t>Total cost</t>
        </is>
      </c>
      <c r="B7" s="3" t="n">
        <v>36471.38</v>
      </c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4" t="inlineStr">
        <is>
          <t>Billed Org</t>
        </is>
      </c>
      <c r="B10" s="4" t="inlineStr">
        <is>
          <t>Case Year</t>
        </is>
      </c>
      <c r="C10" s="4" t="inlineStr">
        <is>
          <t>Cases</t>
        </is>
      </c>
      <c r="D10" s="4" t="inlineStr">
        <is>
          <t>Cases with Cost</t>
        </is>
      </c>
      <c r="E10" s="4" t="inlineStr">
        <is>
          <t>Cases with Date Closed</t>
        </is>
      </c>
      <c r="F10" s="5" t="inlineStr">
        <is>
          <t>Total Cost</t>
        </is>
      </c>
    </row>
    <row r="11">
      <c r="A11" s="6" t="inlineStr">
        <is>
          <t>23 BGS</t>
        </is>
      </c>
      <c r="B11" s="6" t="n">
        <v>2024</v>
      </c>
      <c r="C11" s="6" t="n">
        <v>7</v>
      </c>
      <c r="D11" s="6" t="n">
        <v>7</v>
      </c>
      <c r="E11" s="6" t="n">
        <v>0</v>
      </c>
      <c r="F11" s="7" t="n">
        <v>2158.49</v>
      </c>
    </row>
    <row r="12">
      <c r="A12" s="6" t="inlineStr">
        <is>
          <t>23 BGS</t>
        </is>
      </c>
      <c r="B12" s="6" t="n">
        <v>2025</v>
      </c>
      <c r="C12" s="6" t="n">
        <v>14</v>
      </c>
      <c r="D12" s="6" t="n">
        <v>11</v>
      </c>
      <c r="E12" s="6" t="n">
        <v>0</v>
      </c>
      <c r="F12" s="7" t="n">
        <v>4720.52</v>
      </c>
    </row>
    <row r="13">
      <c r="A13" s="6" t="inlineStr">
        <is>
          <t>5 AMXS</t>
        </is>
      </c>
      <c r="B13" s="6" t="n">
        <v>2023</v>
      </c>
      <c r="C13" s="6" t="n">
        <v>5</v>
      </c>
      <c r="D13" s="6" t="n">
        <v>5</v>
      </c>
      <c r="E13" s="6" t="n">
        <v>4</v>
      </c>
      <c r="F13" s="7" t="n">
        <v>5465.82</v>
      </c>
    </row>
    <row r="14">
      <c r="A14" s="6" t="inlineStr">
        <is>
          <t>5 AMXS</t>
        </is>
      </c>
      <c r="B14" s="6" t="n">
        <v>2024</v>
      </c>
      <c r="C14" s="6" t="n">
        <v>14</v>
      </c>
      <c r="D14" s="6" t="n">
        <v>14</v>
      </c>
      <c r="E14" s="6" t="n">
        <v>3</v>
      </c>
      <c r="F14" s="7" t="n">
        <v>5719.570000000001</v>
      </c>
    </row>
    <row r="15">
      <c r="A15" s="6" t="inlineStr">
        <is>
          <t>5 AMXS</t>
        </is>
      </c>
      <c r="B15" s="6" t="n">
        <v>2025</v>
      </c>
      <c r="C15" s="6" t="n">
        <v>4</v>
      </c>
      <c r="D15" s="6" t="n">
        <v>3</v>
      </c>
      <c r="E15" s="6" t="n">
        <v>0</v>
      </c>
      <c r="F15" s="7" t="n">
        <v>0</v>
      </c>
    </row>
    <row r="16">
      <c r="A16" s="6" t="inlineStr">
        <is>
          <t>5 MUNS</t>
        </is>
      </c>
      <c r="B16" s="6" t="n">
        <v>2023</v>
      </c>
      <c r="C16" s="6" t="n">
        <v>2</v>
      </c>
      <c r="D16" s="6" t="n">
        <v>2</v>
      </c>
      <c r="E16" s="6" t="n">
        <v>0</v>
      </c>
      <c r="F16" s="7" t="n">
        <v>0</v>
      </c>
    </row>
    <row r="17">
      <c r="A17" s="6" t="inlineStr">
        <is>
          <t>5 MUNS</t>
        </is>
      </c>
      <c r="B17" s="6" t="n">
        <v>2024</v>
      </c>
      <c r="C17" s="6" t="n">
        <v>9</v>
      </c>
      <c r="D17" s="6" t="n">
        <v>9</v>
      </c>
      <c r="E17" s="6" t="n">
        <v>2</v>
      </c>
      <c r="F17" s="7" t="n">
        <v>2328</v>
      </c>
    </row>
    <row r="18">
      <c r="A18" s="6" t="inlineStr">
        <is>
          <t>5 MUNS</t>
        </is>
      </c>
      <c r="B18" s="6" t="n">
        <v>2025</v>
      </c>
      <c r="C18" s="6" t="n">
        <v>8</v>
      </c>
      <c r="D18" s="6" t="n">
        <v>6</v>
      </c>
      <c r="E18" s="6" t="n">
        <v>0</v>
      </c>
      <c r="F18" s="7" t="n">
        <v>91.70999999999999</v>
      </c>
    </row>
    <row r="19">
      <c r="A19" s="6" t="inlineStr">
        <is>
          <t>5 MUNS</t>
        </is>
      </c>
      <c r="B19" s="6" t="n">
        <v>2026</v>
      </c>
      <c r="C19" s="6" t="n">
        <v>2</v>
      </c>
      <c r="D19" s="6" t="n">
        <v>0</v>
      </c>
      <c r="E19" s="6" t="n">
        <v>0</v>
      </c>
      <c r="F19" s="7" t="n">
        <v>0</v>
      </c>
    </row>
    <row r="20">
      <c r="A20" s="6" t="inlineStr">
        <is>
          <t>5 MXG</t>
        </is>
      </c>
      <c r="B20" s="6" t="n">
        <v>2024</v>
      </c>
      <c r="C20" s="6" t="n">
        <v>1</v>
      </c>
      <c r="D20" s="6" t="n">
        <v>1</v>
      </c>
      <c r="E20" s="6" t="n">
        <v>0</v>
      </c>
      <c r="F20" s="7" t="n">
        <v>0</v>
      </c>
    </row>
    <row r="21">
      <c r="A21" s="6" t="inlineStr">
        <is>
          <t>5 MXG</t>
        </is>
      </c>
      <c r="B21" s="6" t="n">
        <v>2025</v>
      </c>
      <c r="C21" s="6" t="n">
        <v>2</v>
      </c>
      <c r="D21" s="6" t="n">
        <v>1</v>
      </c>
      <c r="E21" s="6" t="n">
        <v>0</v>
      </c>
      <c r="F21" s="7" t="n">
        <v>0</v>
      </c>
    </row>
    <row r="22">
      <c r="A22" s="6" t="inlineStr">
        <is>
          <t>5 MXS</t>
        </is>
      </c>
      <c r="B22" s="6" t="n">
        <v>2023</v>
      </c>
      <c r="C22" s="6" t="n">
        <v>2</v>
      </c>
      <c r="D22" s="6" t="n">
        <v>2</v>
      </c>
      <c r="E22" s="6" t="n">
        <v>2</v>
      </c>
      <c r="F22" s="7" t="n">
        <v>1045.8</v>
      </c>
    </row>
    <row r="23">
      <c r="A23" s="6" t="inlineStr">
        <is>
          <t>5 MXS</t>
        </is>
      </c>
      <c r="B23" s="6" t="n">
        <v>2024</v>
      </c>
      <c r="C23" s="6" t="n">
        <v>19</v>
      </c>
      <c r="D23" s="6" t="n">
        <v>19</v>
      </c>
      <c r="E23" s="6" t="n">
        <v>8</v>
      </c>
      <c r="F23" s="7" t="n">
        <v>12555</v>
      </c>
    </row>
    <row r="24">
      <c r="A24" s="6" t="inlineStr">
        <is>
          <t>5 MXS</t>
        </is>
      </c>
      <c r="B24" s="6" t="n">
        <v>2025</v>
      </c>
      <c r="C24" s="6" t="n">
        <v>14</v>
      </c>
      <c r="D24" s="6" t="n">
        <v>14</v>
      </c>
      <c r="E24" s="6" t="n">
        <v>0</v>
      </c>
      <c r="F24" s="7" t="n">
        <v>2086.47</v>
      </c>
    </row>
    <row r="25">
      <c r="A25" s="6" t="inlineStr">
        <is>
          <t>5 MXS</t>
        </is>
      </c>
      <c r="B25" s="6" t="n">
        <v>2026</v>
      </c>
      <c r="C25" s="6" t="n">
        <v>2</v>
      </c>
      <c r="D25" s="6" t="n">
        <v>0</v>
      </c>
      <c r="E25" s="6" t="n">
        <v>0</v>
      </c>
      <c r="F25" s="7" t="n">
        <v>0</v>
      </c>
    </row>
    <row r="26">
      <c r="A26" s="6" t="inlineStr">
        <is>
          <t>5 OSS</t>
        </is>
      </c>
      <c r="B26" s="6" t="n">
        <v>2024</v>
      </c>
      <c r="C26" s="6" t="n">
        <v>1</v>
      </c>
      <c r="D26" s="6" t="n">
        <v>1</v>
      </c>
      <c r="E26" s="6" t="n">
        <v>0</v>
      </c>
      <c r="F26" s="7" t="n">
        <v>0</v>
      </c>
    </row>
    <row r="27">
      <c r="A27" s="6" t="inlineStr">
        <is>
          <t>69 BGS</t>
        </is>
      </c>
      <c r="B27" s="6" t="n">
        <v>2024</v>
      </c>
      <c r="C27" s="6" t="n">
        <v>5</v>
      </c>
      <c r="D27" s="6" t="n">
        <v>5</v>
      </c>
      <c r="E27" s="6" t="n">
        <v>0</v>
      </c>
      <c r="F27" s="7" t="n">
        <v>0</v>
      </c>
    </row>
    <row r="28">
      <c r="A28" s="6" t="inlineStr">
        <is>
          <t>69 BGS</t>
        </is>
      </c>
      <c r="B28" s="6" t="n">
        <v>2026</v>
      </c>
      <c r="C28" s="6" t="n">
        <v>2</v>
      </c>
      <c r="D28" s="6" t="n">
        <v>1</v>
      </c>
      <c r="E28" s="6" t="n">
        <v>0</v>
      </c>
      <c r="F28" s="7" t="n">
        <v>0</v>
      </c>
    </row>
    <row r="29">
      <c r="A29" s="6" t="inlineStr">
        <is>
          <t>705 MUNS</t>
        </is>
      </c>
      <c r="B29" s="6" t="n">
        <v>2024</v>
      </c>
      <c r="C29" s="6" t="n">
        <v>7</v>
      </c>
      <c r="D29" s="6" t="n">
        <v>5</v>
      </c>
      <c r="E29" s="6" t="n">
        <v>0</v>
      </c>
      <c r="F29" s="7" t="n">
        <v>300</v>
      </c>
    </row>
    <row r="30">
      <c r="A30" s="6" t="inlineStr">
        <is>
          <t>705 MUNS</t>
        </is>
      </c>
      <c r="B30" s="6" t="n">
        <v>2025</v>
      </c>
      <c r="C30" s="6" t="n">
        <v>3</v>
      </c>
      <c r="D30" s="6" t="n">
        <v>3</v>
      </c>
      <c r="E30" s="6" t="n">
        <v>0</v>
      </c>
      <c r="F30" s="7" t="n">
        <v>0</v>
      </c>
    </row>
    <row r="31">
      <c r="A31" s="6" t="n"/>
      <c r="B31" s="6" t="n"/>
      <c r="C31" s="6" t="n"/>
      <c r="D31" s="6" t="n"/>
      <c r="E31" s="6" t="n"/>
      <c r="F31" s="7" t="n"/>
    </row>
    <row r="32">
      <c r="A32" s="6" t="n"/>
      <c r="B32" s="6" t="n"/>
      <c r="C32" s="6" t="n"/>
      <c r="D32" s="6" t="n"/>
      <c r="E32" s="6" t="n"/>
      <c r="F32" s="7" t="n"/>
    </row>
    <row r="33">
      <c r="A33" s="4" t="inlineStr">
        <is>
          <t>Billed Org Total</t>
        </is>
      </c>
      <c r="B33" s="4" t="inlineStr">
        <is>
          <t>Cases</t>
        </is>
      </c>
      <c r="C33" s="4" t="inlineStr">
        <is>
          <t>Cases with Cost</t>
        </is>
      </c>
      <c r="D33" s="4" t="inlineStr">
        <is>
          <t>Cases with Date Closed</t>
        </is>
      </c>
      <c r="E33" s="5" t="inlineStr">
        <is>
          <t>Total Cost</t>
        </is>
      </c>
      <c r="F33" s="7" t="n"/>
    </row>
    <row r="34">
      <c r="A34" s="6" t="inlineStr">
        <is>
          <t>23 BGS</t>
        </is>
      </c>
      <c r="B34" s="6" t="n">
        <v>21</v>
      </c>
      <c r="C34" s="6" t="n">
        <v>18</v>
      </c>
      <c r="D34" s="6" t="n">
        <v>0</v>
      </c>
      <c r="E34" s="7" t="n">
        <v>6879.01</v>
      </c>
      <c r="F34" s="7" t="n"/>
    </row>
    <row r="35">
      <c r="A35" s="6" t="inlineStr">
        <is>
          <t>5 AMXS</t>
        </is>
      </c>
      <c r="B35" s="6" t="n">
        <v>23</v>
      </c>
      <c r="C35" s="6" t="n">
        <v>22</v>
      </c>
      <c r="D35" s="6" t="n">
        <v>7</v>
      </c>
      <c r="E35" s="7" t="n">
        <v>11185.39</v>
      </c>
      <c r="F35" s="7" t="n"/>
    </row>
    <row r="36">
      <c r="A36" s="6" t="inlineStr">
        <is>
          <t>5 MUNS</t>
        </is>
      </c>
      <c r="B36" s="6" t="n">
        <v>21</v>
      </c>
      <c r="C36" s="6" t="n">
        <v>17</v>
      </c>
      <c r="D36" s="6" t="n">
        <v>2</v>
      </c>
      <c r="E36" s="7" t="n">
        <v>2419.71</v>
      </c>
      <c r="F36" s="7" t="n"/>
    </row>
    <row r="37">
      <c r="A37" s="6" t="inlineStr">
        <is>
          <t>5 MXG</t>
        </is>
      </c>
      <c r="B37" s="6" t="n">
        <v>3</v>
      </c>
      <c r="C37" s="6" t="n">
        <v>2</v>
      </c>
      <c r="D37" s="6" t="n">
        <v>0</v>
      </c>
      <c r="E37" s="7" t="n">
        <v>0</v>
      </c>
      <c r="F37" s="7" t="n"/>
    </row>
    <row r="38">
      <c r="A38" s="6" t="inlineStr">
        <is>
          <t>5 MXS</t>
        </is>
      </c>
      <c r="B38" s="6" t="n">
        <v>37</v>
      </c>
      <c r="C38" s="6" t="n">
        <v>35</v>
      </c>
      <c r="D38" s="6" t="n">
        <v>10</v>
      </c>
      <c r="E38" s="7" t="n">
        <v>15687.27</v>
      </c>
      <c r="F38" s="7" t="n"/>
    </row>
    <row r="39">
      <c r="A39" s="6" t="inlineStr">
        <is>
          <t>5 OSS</t>
        </is>
      </c>
      <c r="B39" s="6" t="n">
        <v>1</v>
      </c>
      <c r="C39" s="6" t="n">
        <v>1</v>
      </c>
      <c r="D39" s="6" t="n">
        <v>0</v>
      </c>
      <c r="E39" s="7" t="n">
        <v>0</v>
      </c>
      <c r="F39" s="7" t="n"/>
    </row>
    <row r="40">
      <c r="A40" s="6" t="inlineStr">
        <is>
          <t>69 BGS</t>
        </is>
      </c>
      <c r="B40" s="6" t="n">
        <v>7</v>
      </c>
      <c r="C40" s="6" t="n">
        <v>6</v>
      </c>
      <c r="D40" s="6" t="n">
        <v>0</v>
      </c>
      <c r="E40" s="7" t="n">
        <v>0</v>
      </c>
      <c r="F40" s="7" t="n"/>
    </row>
    <row r="41">
      <c r="A41" s="6" t="inlineStr">
        <is>
          <t>705 MUNS</t>
        </is>
      </c>
      <c r="B41" s="6" t="n">
        <v>10</v>
      </c>
      <c r="C41" s="6" t="n">
        <v>8</v>
      </c>
      <c r="D41" s="6" t="n">
        <v>0</v>
      </c>
      <c r="E41" s="7" t="n">
        <v>300</v>
      </c>
      <c r="F41" s="7" t="n"/>
    </row>
  </sheetData>
  <mergeCells count="1">
    <mergeCell ref="A1:E1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4" customWidth="1" min="5" max="5"/>
    <col width="80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Reg#</t>
        </is>
      </c>
      <c r="B1" s="1" t="inlineStr">
        <is>
          <t>Veh type</t>
        </is>
      </c>
      <c r="C1" s="1" t="inlineStr">
        <is>
          <t>Assigned Org</t>
        </is>
      </c>
      <c r="D1" s="1" t="inlineStr">
        <is>
          <t>Billed Org</t>
        </is>
      </c>
      <c r="E1" s="1" t="inlineStr">
        <is>
          <t>Case number</t>
        </is>
      </c>
      <c r="F1" s="1" t="inlineStr">
        <is>
          <t>Description of damage</t>
        </is>
      </c>
      <c r="G1" s="1" t="inlineStr">
        <is>
          <t>Date Opened</t>
        </is>
      </c>
      <c r="H1" s="1" t="inlineStr">
        <is>
          <t>Cost</t>
        </is>
      </c>
      <c r="I1" s="1" t="inlineStr">
        <is>
          <t>Date Closed</t>
        </is>
      </c>
    </row>
    <row r="2">
      <c r="A2" s="2" t="inlineStr">
        <is>
          <t>10B02060</t>
        </is>
      </c>
      <c r="B2" s="2">
        <f>VLOOKUP(A2,'[1]PCN23 Query'!$1:$1048576,5,FALSE)</f>
        <v/>
      </c>
      <c r="C2" s="2" t="inlineStr">
        <is>
          <t>5 AMXS</t>
        </is>
      </c>
      <c r="D2" s="2" t="inlineStr">
        <is>
          <t>5 AMXS</t>
        </is>
      </c>
      <c r="E2" s="2" t="inlineStr">
        <is>
          <t>A102423A</t>
        </is>
      </c>
      <c r="F2" s="2" t="inlineStr">
        <is>
          <t>WIND DAMAGE TO BOTH FRONT DOORS AND UNREPORTED DAMAGE TO SLIDING DOOR WINDOW GLASS</t>
        </is>
      </c>
      <c r="G2" s="8" t="n">
        <v>45223</v>
      </c>
      <c r="H2" s="3" t="n">
        <v>3022.35</v>
      </c>
      <c r="I2" s="8" t="n">
        <v>45286</v>
      </c>
    </row>
    <row r="3">
      <c r="A3" s="2" t="inlineStr">
        <is>
          <t>08B01137</t>
        </is>
      </c>
      <c r="B3" s="2">
        <f>VLOOKUP(A3,'[1]PCN23 Query'!$1:$1048576,5,FALSE)</f>
        <v/>
      </c>
      <c r="C3" s="2" t="inlineStr">
        <is>
          <t>5 AMXS</t>
        </is>
      </c>
      <c r="D3" s="2" t="inlineStr">
        <is>
          <t>5 AMXS</t>
        </is>
      </c>
      <c r="E3" s="2" t="inlineStr">
        <is>
          <t>A111423A</t>
        </is>
      </c>
      <c r="F3" s="2" t="inlineStr">
        <is>
          <t>wind damage and unreported damage to RF DOOR, AND inside door handle, dent in lr cargo box in front of wheel</t>
        </is>
      </c>
      <c r="G3" s="8" t="n">
        <v>45244</v>
      </c>
      <c r="H3" s="3" t="n">
        <v>306.84</v>
      </c>
      <c r="I3" s="8" t="n">
        <v>45267</v>
      </c>
    </row>
    <row r="4">
      <c r="A4" s="2" t="inlineStr">
        <is>
          <t>16B00104</t>
        </is>
      </c>
      <c r="B4" s="2">
        <f>VLOOKUP(A4,'[1]PCN23 Query'!$1:$1048576,5,FALSE)</f>
        <v/>
      </c>
      <c r="C4" s="2" t="inlineStr">
        <is>
          <t>5 MXS</t>
        </is>
      </c>
      <c r="D4" s="2" t="inlineStr">
        <is>
          <t>5 MXS</t>
        </is>
      </c>
      <c r="E4" s="2" t="inlineStr">
        <is>
          <t>F111623A</t>
        </is>
      </c>
      <c r="F4" s="2" t="inlineStr">
        <is>
          <t>see sf-91 for explanation but it looks like wind damage to rf door and fender</t>
        </is>
      </c>
      <c r="G4" s="8" t="n">
        <v>45246</v>
      </c>
      <c r="H4" s="3" t="n">
        <v>545.13</v>
      </c>
      <c r="I4" s="8" t="n">
        <v>45286</v>
      </c>
    </row>
    <row r="5">
      <c r="A5" s="2" t="inlineStr">
        <is>
          <t>16C00117</t>
        </is>
      </c>
      <c r="B5" s="2">
        <f>VLOOKUP(A5,'[1]PCN23 Query'!$1:$1048576,5,FALSE)</f>
        <v/>
      </c>
      <c r="C5" s="2" t="inlineStr">
        <is>
          <t>5 MUNS</t>
        </is>
      </c>
      <c r="D5" s="2" t="inlineStr">
        <is>
          <t>5 MUNS</t>
        </is>
      </c>
      <c r="E5" s="2" t="inlineStr">
        <is>
          <t>A113023A</t>
        </is>
      </c>
      <c r="F5" s="2" t="inlineStr">
        <is>
          <t>BLOCK HEATER CORD TORN OFF</t>
        </is>
      </c>
      <c r="G5" s="8" t="n">
        <v>45260</v>
      </c>
      <c r="H5" s="3" t="n">
        <v>0</v>
      </c>
      <c r="I5" s="8" t="n"/>
    </row>
    <row r="6">
      <c r="A6" s="2" t="inlineStr">
        <is>
          <t>07C00267</t>
        </is>
      </c>
      <c r="B6" s="2">
        <f>VLOOKUP(A6,'[1]PCN23 Query'!$1:$1048576,5,FALSE)</f>
        <v/>
      </c>
      <c r="C6" s="2" t="inlineStr">
        <is>
          <t>5 MXS</t>
        </is>
      </c>
      <c r="D6" s="2" t="inlineStr">
        <is>
          <t>5 MXS</t>
        </is>
      </c>
      <c r="E6" s="2" t="inlineStr">
        <is>
          <t>A121123A</t>
        </is>
      </c>
      <c r="F6" s="2" t="inlineStr">
        <is>
          <t>ORG TIED CHAIN AROUND DRAGLINK/TIE ROD INSTEAD OF TOW HOOK, BENT DRAG LINK AND TOR ROD ARM</t>
        </is>
      </c>
      <c r="G6" s="8" t="n">
        <v>45271</v>
      </c>
      <c r="H6" s="3" t="n">
        <v>500.67</v>
      </c>
      <c r="I6" s="8" t="n">
        <v>45303</v>
      </c>
    </row>
    <row r="7">
      <c r="A7" s="2" t="inlineStr">
        <is>
          <t>10B02067</t>
        </is>
      </c>
      <c r="B7" s="2">
        <f>VLOOKUP(A7,'[1]PCN23 Query'!$1:$1048576,5,FALSE)</f>
        <v/>
      </c>
      <c r="C7" s="2" t="inlineStr">
        <is>
          <t>5 AMXS</t>
        </is>
      </c>
      <c r="D7" s="2" t="inlineStr">
        <is>
          <t>5 AMXS</t>
        </is>
      </c>
      <c r="E7" s="2" t="inlineStr">
        <is>
          <t>A121223A</t>
        </is>
      </c>
      <c r="F7" s="2" t="inlineStr">
        <is>
          <t>wind damage to left front door</t>
        </is>
      </c>
      <c r="G7" s="8" t="n">
        <v>45272</v>
      </c>
      <c r="H7" s="3" t="n">
        <v>857.42</v>
      </c>
      <c r="I7" s="8" t="n">
        <v>45303</v>
      </c>
    </row>
    <row r="8">
      <c r="A8" s="2" t="inlineStr">
        <is>
          <t>16C00103</t>
        </is>
      </c>
      <c r="B8" s="2">
        <f>VLOOKUP(A8,'[1]PCN23 Query'!$1:$1048576,5,FALSE)</f>
        <v/>
      </c>
      <c r="C8" s="2" t="inlineStr">
        <is>
          <t>5 MUNS</t>
        </is>
      </c>
      <c r="D8" s="2" t="inlineStr">
        <is>
          <t>5 MUNS</t>
        </is>
      </c>
      <c r="E8" s="2" t="inlineStr">
        <is>
          <t>F121223A</t>
        </is>
      </c>
      <c r="F8" s="2" t="inlineStr">
        <is>
          <t>notify only, waiver minor chip in left door mirror plastic housing</t>
        </is>
      </c>
      <c r="G8" s="8" t="n">
        <v>45272</v>
      </c>
      <c r="H8" s="3" t="n">
        <v>0</v>
      </c>
      <c r="I8" s="8" t="n"/>
    </row>
    <row r="9">
      <c r="A9" s="2" t="inlineStr">
        <is>
          <t>11B01316</t>
        </is>
      </c>
      <c r="B9" s="2">
        <f>VLOOKUP(A9,'[1]PCN23 Query'!$1:$1048576,5,FALSE)</f>
        <v/>
      </c>
      <c r="C9" s="2" t="inlineStr">
        <is>
          <t>5 AMXS</t>
        </is>
      </c>
      <c r="D9" s="2" t="inlineStr">
        <is>
          <t>5 AMXS</t>
        </is>
      </c>
      <c r="E9" s="2" t="inlineStr">
        <is>
          <t>A121823B</t>
        </is>
      </c>
      <c r="F9" s="2" t="inlineStr">
        <is>
          <t>WIND DAMAGE TO RF DOOR AND FENDER</t>
        </is>
      </c>
      <c r="G9" s="8" t="n">
        <v>45278</v>
      </c>
      <c r="H9" s="3" t="n">
        <v>768.96</v>
      </c>
      <c r="I9" s="8" t="n"/>
    </row>
    <row r="10">
      <c r="A10" s="2" t="inlineStr">
        <is>
          <t>08B01139</t>
        </is>
      </c>
      <c r="B10" s="2">
        <f>VLOOKUP(A10,'[1]PCN23 Query'!$1:$1048576,5,FALSE)</f>
        <v/>
      </c>
      <c r="C10" s="2" t="inlineStr">
        <is>
          <t>5 AMXS</t>
        </is>
      </c>
      <c r="D10" s="2" t="inlineStr">
        <is>
          <t>5 AMXS</t>
        </is>
      </c>
      <c r="E10" s="2" t="inlineStr">
        <is>
          <t>A012224A</t>
        </is>
      </c>
      <c r="F10" s="2" t="inlineStr">
        <is>
          <t>unreported damage to left rear cargo box behind left tire//b/s pulled eent and touch up painted, no charge</t>
        </is>
      </c>
      <c r="G10" s="8" t="n">
        <v>45313</v>
      </c>
      <c r="H10" s="3" t="n">
        <v>135</v>
      </c>
      <c r="I10" s="8" t="n"/>
    </row>
    <row r="11">
      <c r="A11" s="2" t="inlineStr">
        <is>
          <t>13C00072</t>
        </is>
      </c>
      <c r="B11" s="2">
        <f>VLOOKUP(A11,'[1]PCN23 Query'!$1:$1048576,5,FALSE)</f>
        <v/>
      </c>
      <c r="C11" s="2" t="inlineStr">
        <is>
          <t>5 AMXS</t>
        </is>
      </c>
      <c r="D11" s="2" t="inlineStr">
        <is>
          <t>5 AMXS</t>
        </is>
      </c>
      <c r="E11" s="2" t="inlineStr">
        <is>
          <t>F012524A</t>
        </is>
      </c>
      <c r="F11" s="2" t="inlineStr">
        <is>
          <t>boom red light broken</t>
        </is>
      </c>
      <c r="G11" s="8" t="n">
        <v>45316</v>
      </c>
      <c r="H11" s="3" t="n">
        <v>310</v>
      </c>
      <c r="I11" s="8" t="n">
        <v>45335</v>
      </c>
    </row>
    <row r="12">
      <c r="A12" s="2" t="inlineStr">
        <is>
          <t>10B02065</t>
        </is>
      </c>
      <c r="B12" s="2">
        <f>VLOOKUP(A12,'[1]PCN23 Query'!$1:$1048576,5,FALSE)</f>
        <v/>
      </c>
      <c r="C12" s="2" t="inlineStr">
        <is>
          <t>5 AMXS</t>
        </is>
      </c>
      <c r="D12" s="2" t="inlineStr">
        <is>
          <t>5 AMXS</t>
        </is>
      </c>
      <c r="E12" s="2" t="inlineStr">
        <is>
          <t>A020124A</t>
        </is>
      </c>
      <c r="F12" s="2" t="inlineStr">
        <is>
          <t>LEFT MIRROR HOUSING CRACKED</t>
        </is>
      </c>
      <c r="G12" s="8" t="n">
        <v>45323</v>
      </c>
      <c r="H12" s="3" t="n">
        <v>189.99</v>
      </c>
      <c r="I12" s="8" t="n">
        <v>45365</v>
      </c>
    </row>
    <row r="13">
      <c r="A13" s="2" t="inlineStr">
        <is>
          <t>19L00597</t>
        </is>
      </c>
      <c r="B13" s="2">
        <f>VLOOKUP(A13,'[1]PCN23 Query'!$1:$1048576,5,FALSE)</f>
        <v/>
      </c>
      <c r="C13" s="2" t="inlineStr">
        <is>
          <t>5 AMXS</t>
        </is>
      </c>
      <c r="D13" s="2" t="inlineStr">
        <is>
          <t>5 AMXS</t>
        </is>
      </c>
      <c r="E13" s="2" t="inlineStr">
        <is>
          <t>F020124A</t>
        </is>
      </c>
      <c r="F13" s="2" t="inlineStr">
        <is>
          <t xml:space="preserve">left door mirror broken.  </t>
        </is>
      </c>
      <c r="G13" s="8" t="n">
        <v>45323</v>
      </c>
      <c r="H13" s="3" t="n">
        <v>165.58</v>
      </c>
      <c r="I13" s="8" t="n"/>
    </row>
    <row r="14">
      <c r="A14" s="2" t="inlineStr">
        <is>
          <t>10B02069</t>
        </is>
      </c>
      <c r="B14" s="2">
        <f>VLOOKUP(A14,'[1]PCN23 Query'!$1:$1048576,5,FALSE)</f>
        <v/>
      </c>
      <c r="C14" s="2" t="inlineStr">
        <is>
          <t>5 AMXS</t>
        </is>
      </c>
      <c r="D14" s="2" t="inlineStr">
        <is>
          <t>5 AMXS</t>
        </is>
      </c>
      <c r="E14" s="2" t="inlineStr">
        <is>
          <t>A022024B</t>
        </is>
      </c>
      <c r="F14" s="2" t="inlineStr">
        <is>
          <t>turned in with 4 qts low on oil. Topped off oil level and sent notify letter to orgq</t>
        </is>
      </c>
      <c r="G14" s="8" t="n">
        <v>45342</v>
      </c>
      <c r="H14" s="3" t="n">
        <v>0</v>
      </c>
      <c r="I14" s="8" t="n"/>
    </row>
    <row r="15">
      <c r="A15" s="2" t="inlineStr">
        <is>
          <t>12L01060</t>
        </is>
      </c>
      <c r="B15" s="2">
        <f>VLOOKUP(A15,'[1]PCN23 Query'!$1:$1048576,5,FALSE)</f>
        <v/>
      </c>
      <c r="C15" s="2" t="inlineStr">
        <is>
          <t>5 AMXS</t>
        </is>
      </c>
      <c r="D15" s="2" t="inlineStr">
        <is>
          <t>5 AMXS</t>
        </is>
      </c>
      <c r="E15" s="2" t="inlineStr">
        <is>
          <t>F031423A</t>
        </is>
      </c>
      <c r="F15" s="2" t="inlineStr">
        <is>
          <t>windshield cracked</t>
        </is>
      </c>
      <c r="G15" s="8" t="n">
        <v>44999</v>
      </c>
      <c r="H15" s="3" t="n">
        <v>510.25</v>
      </c>
      <c r="I15" s="8" t="n">
        <v>45390</v>
      </c>
    </row>
    <row r="16">
      <c r="A16" s="2" t="inlineStr">
        <is>
          <t>10B02067</t>
        </is>
      </c>
      <c r="B16" s="2">
        <f>VLOOKUP(A16,'[1]PCN23 Query'!$1:$1048576,5,FALSE)</f>
        <v/>
      </c>
      <c r="C16" s="2" t="inlineStr">
        <is>
          <t>5 AMXS</t>
        </is>
      </c>
      <c r="D16" s="2" t="inlineStr">
        <is>
          <t>5 AMXS</t>
        </is>
      </c>
      <c r="E16" s="2" t="inlineStr">
        <is>
          <t>A032224B</t>
        </is>
      </c>
      <c r="F16" s="2" t="inlineStr">
        <is>
          <t>heater box kicked in</t>
        </is>
      </c>
      <c r="G16" s="8" t="n">
        <v>45373</v>
      </c>
      <c r="H16" s="3" t="n">
        <v>0</v>
      </c>
      <c r="I16" s="8" t="n"/>
    </row>
    <row r="17">
      <c r="A17" s="2" t="inlineStr">
        <is>
          <t>11B01316</t>
        </is>
      </c>
      <c r="B17" s="2">
        <f>VLOOKUP(A17,'[1]PCN23 Query'!$1:$1048576,5,FALSE)</f>
        <v/>
      </c>
      <c r="C17" s="2" t="inlineStr">
        <is>
          <t>5 AMXS</t>
        </is>
      </c>
      <c r="D17" s="2" t="inlineStr">
        <is>
          <t>5 AMXS</t>
        </is>
      </c>
      <c r="E17" s="2" t="inlineStr">
        <is>
          <t>A040824A</t>
        </is>
      </c>
      <c r="F17" s="2" t="inlineStr">
        <is>
          <t>WIND DAMAGE TO DOORS</t>
        </is>
      </c>
      <c r="G17" s="8" t="n">
        <v>45390</v>
      </c>
      <c r="H17" s="3" t="n">
        <v>0</v>
      </c>
      <c r="I17" s="8" t="n"/>
    </row>
    <row r="18">
      <c r="A18" s="2" t="inlineStr">
        <is>
          <t>19L00597</t>
        </is>
      </c>
      <c r="B18" s="2">
        <f>VLOOKUP(A18,'[1]PCN23 Query'!$1:$1048576,5,FALSE)</f>
        <v/>
      </c>
      <c r="C18" s="2" t="inlineStr">
        <is>
          <t>5 AMXS</t>
        </is>
      </c>
      <c r="D18" s="2" t="inlineStr">
        <is>
          <t>5 AMXS</t>
        </is>
      </c>
      <c r="E18" s="2" t="inlineStr">
        <is>
          <t>A052024A</t>
        </is>
      </c>
      <c r="F18" s="2" t="inlineStr">
        <is>
          <t xml:space="preserve">OPERATOR OPENED DOOR AND PINS SNAPPED AND DOOR FELL OFF </t>
        </is>
      </c>
      <c r="G18" s="8" t="n">
        <v>45432</v>
      </c>
      <c r="H18" s="3" t="n">
        <v>414.2</v>
      </c>
      <c r="I18" s="8" t="n">
        <v>45488</v>
      </c>
    </row>
    <row r="19">
      <c r="A19" s="2" t="inlineStr">
        <is>
          <t>08B01259</t>
        </is>
      </c>
      <c r="B19" s="2">
        <f>VLOOKUP(A19,'[1]PCN23 Query'!$1:$1048576,5,FALSE)</f>
        <v/>
      </c>
      <c r="C19" s="2" t="inlineStr">
        <is>
          <t>5 AMXS</t>
        </is>
      </c>
      <c r="D19" s="2" t="inlineStr">
        <is>
          <t>5 AMXS</t>
        </is>
      </c>
      <c r="E19" s="2" t="inlineStr">
        <is>
          <t>F060524A</t>
        </is>
      </c>
      <c r="F19" s="2" t="inlineStr">
        <is>
          <t>P/S FRONT AND REAR DOR DENTED, SCRATCHED PAINT</t>
        </is>
      </c>
      <c r="G19" s="8" t="n">
        <v>45448</v>
      </c>
      <c r="H19" s="3" t="n">
        <v>4100.51</v>
      </c>
      <c r="I19" s="8" t="n"/>
    </row>
    <row r="20">
      <c r="A20" s="2" t="inlineStr">
        <is>
          <t>16L00044</t>
        </is>
      </c>
      <c r="B20" s="2">
        <f>VLOOKUP(A20,'[1]PCN23 Query'!$1:$1048576,5,FALSE)</f>
        <v/>
      </c>
      <c r="C20" s="2" t="inlineStr">
        <is>
          <t>5 AMXS</t>
        </is>
      </c>
      <c r="D20" s="2" t="inlineStr">
        <is>
          <t>5 AMXS</t>
        </is>
      </c>
      <c r="E20" s="2" t="inlineStr">
        <is>
          <t>A060724A</t>
        </is>
      </c>
      <c r="F20" s="2" t="inlineStr">
        <is>
          <t>P/S MIRROR AND DOOR STRAP</t>
        </is>
      </c>
      <c r="G20" s="8" t="n">
        <v>45450</v>
      </c>
      <c r="H20" s="3" t="n">
        <v>0</v>
      </c>
      <c r="I20" s="8" t="n"/>
    </row>
    <row r="21">
      <c r="A21" s="2" t="inlineStr">
        <is>
          <t>10B02061</t>
        </is>
      </c>
      <c r="B21" s="2">
        <f>VLOOKUP(A21,'[1]PCN23 Query'!$1:$1048576,5,FALSE)</f>
        <v/>
      </c>
      <c r="C21" s="2" t="inlineStr">
        <is>
          <t>5 AMXS</t>
        </is>
      </c>
      <c r="D21" s="2" t="inlineStr">
        <is>
          <t>5 AMXS</t>
        </is>
      </c>
      <c r="E21" s="2" t="inlineStr">
        <is>
          <t>A061224A</t>
        </is>
      </c>
      <c r="F21" s="2" t="inlineStr">
        <is>
          <t>WIND DAMAGE TO P/S DOOR</t>
        </is>
      </c>
      <c r="G21" s="8" t="n">
        <v>45455</v>
      </c>
      <c r="H21" s="3" t="n">
        <v>0</v>
      </c>
      <c r="I21" s="8" t="n"/>
    </row>
    <row r="22">
      <c r="A22" s="2" t="inlineStr">
        <is>
          <t>11B01321</t>
        </is>
      </c>
      <c r="B22" s="2">
        <f>VLOOKUP(A22,'[1]PCN23 Query'!$1:$1048576,5,FALSE)</f>
        <v/>
      </c>
      <c r="C22" s="2" t="inlineStr">
        <is>
          <t>5 AMXS</t>
        </is>
      </c>
      <c r="D22" s="2" t="inlineStr">
        <is>
          <t>5 AMXS</t>
        </is>
      </c>
      <c r="E22" s="2" t="inlineStr">
        <is>
          <t>A062424C</t>
        </is>
      </c>
      <c r="F22" s="2" t="inlineStr">
        <is>
          <t xml:space="preserve">Heater Box </t>
        </is>
      </c>
      <c r="G22" s="8" t="n">
        <v>45467</v>
      </c>
      <c r="H22" s="3" t="n">
        <v>404.29</v>
      </c>
      <c r="I22" s="8" t="n"/>
    </row>
    <row r="23">
      <c r="A23" s="2" t="inlineStr">
        <is>
          <t>10B02061</t>
        </is>
      </c>
      <c r="B23" s="2">
        <f>VLOOKUP(A23,'[1]PCN23 Query'!$1:$1048576,5,FALSE)</f>
        <v/>
      </c>
      <c r="C23" s="2" t="inlineStr">
        <is>
          <t>5 AMXS</t>
        </is>
      </c>
      <c r="D23" s="2" t="inlineStr">
        <is>
          <t>5 AMXS</t>
        </is>
      </c>
      <c r="E23" s="2" t="inlineStr">
        <is>
          <t>A061224B</t>
        </is>
      </c>
      <c r="F23" s="2" t="inlineStr">
        <is>
          <t xml:space="preserve">Wind damage </t>
        </is>
      </c>
      <c r="G23" s="8" t="n">
        <v>45455</v>
      </c>
      <c r="H23" s="3" t="n">
        <v>0</v>
      </c>
      <c r="I23" s="8" t="n"/>
    </row>
    <row r="24">
      <c r="A24" s="2" t="inlineStr">
        <is>
          <t>11B01319</t>
        </is>
      </c>
      <c r="B24" s="2">
        <f>VLOOKUP(A24,'[1]PCN23 Query'!$1:$1048576,5,FALSE)</f>
        <v/>
      </c>
      <c r="C24" s="2" t="inlineStr">
        <is>
          <t>5 AMXS</t>
        </is>
      </c>
      <c r="D24" s="2" t="inlineStr">
        <is>
          <t>5 AMXS</t>
        </is>
      </c>
      <c r="E24" s="2" t="inlineStr">
        <is>
          <t>F090924A</t>
        </is>
      </c>
      <c r="F24" s="2" t="inlineStr">
        <is>
          <t>D/S REAR DOOR HINGE BENT/BROKE</t>
        </is>
      </c>
      <c r="G24" s="8" t="n">
        <v>45544</v>
      </c>
      <c r="H24" s="3" t="n">
        <v>0</v>
      </c>
      <c r="I24" s="8" t="n"/>
    </row>
    <row r="25">
      <c r="A25" s="2" t="inlineStr">
        <is>
          <t>08B01884</t>
        </is>
      </c>
      <c r="B25" s="2">
        <f>VLOOKUP(A25,'[1]PCN23 Query'!$1:$1048576,5,FALSE)</f>
        <v/>
      </c>
      <c r="C25" s="2" t="inlineStr">
        <is>
          <t>5 MUNS</t>
        </is>
      </c>
      <c r="D25" s="2" t="inlineStr">
        <is>
          <t>5 MUNS</t>
        </is>
      </c>
      <c r="E25" s="2" t="inlineStr">
        <is>
          <t>F030724A</t>
        </is>
      </c>
      <c r="F25" s="2" t="inlineStr">
        <is>
          <t>exhaust stack bent</t>
        </is>
      </c>
      <c r="G25" s="8" t="n">
        <v>45358</v>
      </c>
      <c r="H25" s="3" t="n">
        <v>0</v>
      </c>
      <c r="I25" s="8" t="n"/>
    </row>
    <row r="26">
      <c r="A26" s="2" t="inlineStr">
        <is>
          <t>08B01260</t>
        </is>
      </c>
      <c r="B26" s="2">
        <f>VLOOKUP(A26,'[1]PCN23 Query'!$1:$1048576,5,FALSE)</f>
        <v/>
      </c>
      <c r="C26" s="2" t="inlineStr">
        <is>
          <t>5 MUNS</t>
        </is>
      </c>
      <c r="D26" s="2" t="inlineStr">
        <is>
          <t>5 MUNS</t>
        </is>
      </c>
      <c r="E26" s="2" t="inlineStr">
        <is>
          <t>A041524A</t>
        </is>
      </c>
      <c r="F26" s="2" t="inlineStr">
        <is>
          <t>P/S FRONT DOOR DAMAGE</t>
        </is>
      </c>
      <c r="G26" s="8" t="n">
        <v>45397</v>
      </c>
      <c r="H26" s="3" t="n">
        <v>0</v>
      </c>
      <c r="I26" s="8" t="n"/>
    </row>
    <row r="27">
      <c r="A27" s="2" t="inlineStr">
        <is>
          <t>10B00284</t>
        </is>
      </c>
      <c r="B27" s="2">
        <f>VLOOKUP(A27,'[1]PCN23 Query'!$1:$1048576,5,FALSE)</f>
        <v/>
      </c>
      <c r="C27" s="2" t="inlineStr">
        <is>
          <t>5 MUNS</t>
        </is>
      </c>
      <c r="D27" s="2" t="inlineStr">
        <is>
          <t>5 MUNS</t>
        </is>
      </c>
      <c r="E27" s="2" t="inlineStr">
        <is>
          <t>F082724A</t>
        </is>
      </c>
      <c r="F27" s="2" t="inlineStr">
        <is>
          <t>D/S BACK STEP BENT</t>
        </is>
      </c>
      <c r="G27" s="8" t="n">
        <v>45531</v>
      </c>
      <c r="H27" s="3" t="n">
        <v>1164</v>
      </c>
      <c r="I27" s="8" t="n">
        <v>45601</v>
      </c>
    </row>
    <row r="28">
      <c r="A28" s="2" t="inlineStr">
        <is>
          <t>08B01224</t>
        </is>
      </c>
      <c r="B28" s="2">
        <f>VLOOKUP(A28,'[1]PCN23 Query'!$1:$1048576,5,FALSE)</f>
        <v/>
      </c>
      <c r="C28" s="2" t="inlineStr">
        <is>
          <t>5 MXG</t>
        </is>
      </c>
      <c r="D28" s="2" t="inlineStr">
        <is>
          <t>5 MXG</t>
        </is>
      </c>
      <c r="E28" s="2" t="inlineStr">
        <is>
          <t>A032624A</t>
        </is>
      </c>
      <c r="F28" s="2" t="inlineStr">
        <is>
          <t>low on oil, topped off oil, no further engine damage, notify only</t>
        </is>
      </c>
      <c r="G28" s="8" t="n">
        <v>45377</v>
      </c>
      <c r="H28" s="3" t="n">
        <v>0</v>
      </c>
      <c r="I28" s="8" t="n"/>
    </row>
    <row r="29">
      <c r="A29" s="2" t="inlineStr">
        <is>
          <t>16C00120</t>
        </is>
      </c>
      <c r="B29" s="2">
        <f>VLOOKUP(A29,'[1]PCN23 Query'!$1:$1048576,5,FALSE)</f>
        <v/>
      </c>
      <c r="C29" s="2" t="inlineStr">
        <is>
          <t>5 MXS</t>
        </is>
      </c>
      <c r="D29" s="2" t="inlineStr">
        <is>
          <t>5 MXS</t>
        </is>
      </c>
      <c r="E29" s="2" t="inlineStr">
        <is>
          <t>A012424A</t>
        </is>
      </c>
      <c r="F29" s="2" t="inlineStr">
        <is>
          <t>front grill broken</t>
        </is>
      </c>
      <c r="G29" s="8" t="n">
        <v>45315</v>
      </c>
      <c r="H29" s="3" t="n">
        <v>572.51</v>
      </c>
      <c r="I29" s="8" t="n">
        <v>45330</v>
      </c>
    </row>
    <row r="30">
      <c r="A30" s="2" t="inlineStr">
        <is>
          <t>16B00105</t>
        </is>
      </c>
      <c r="B30" s="2">
        <f>VLOOKUP(A30,'[1]PCN23 Query'!$1:$1048576,5,FALSE)</f>
        <v/>
      </c>
      <c r="C30" s="2" t="inlineStr">
        <is>
          <t>5 MXS</t>
        </is>
      </c>
      <c r="D30" s="2" t="inlineStr">
        <is>
          <t>5 MXS</t>
        </is>
      </c>
      <c r="E30" s="2" t="inlineStr">
        <is>
          <t>A030824A</t>
        </is>
      </c>
      <c r="F30" s="2" t="inlineStr">
        <is>
          <t>unreported damage to left door, interior panel damaged, rear sliding door damaged, don’t bill for passenger door panel</t>
        </is>
      </c>
      <c r="G30" s="8" t="n">
        <v>45359</v>
      </c>
      <c r="H30" s="3" t="n">
        <v>2290.59</v>
      </c>
      <c r="I30" s="8" t="n">
        <v>45398</v>
      </c>
    </row>
    <row r="31">
      <c r="A31" s="2" t="inlineStr">
        <is>
          <t>16B00100</t>
        </is>
      </c>
      <c r="B31" s="2">
        <f>VLOOKUP(A31,'[1]PCN23 Query'!$1:$1048576,5,FALSE)</f>
        <v/>
      </c>
      <c r="C31" s="2" t="inlineStr">
        <is>
          <t>5 MXS</t>
        </is>
      </c>
      <c r="D31" s="2" t="inlineStr">
        <is>
          <t>5 MXS</t>
        </is>
      </c>
      <c r="E31" s="2" t="inlineStr">
        <is>
          <t>A030824B</t>
        </is>
      </c>
      <c r="F31" s="2" t="inlineStr">
        <is>
          <t>SLIDING DOOR DENTED AND WONT CLOSE PROPERLY, UNREPORTED DAMAGE</t>
        </is>
      </c>
      <c r="G31" s="8" t="n">
        <v>45359</v>
      </c>
      <c r="H31" s="3" t="n">
        <v>30</v>
      </c>
      <c r="I31" s="8" t="n"/>
    </row>
    <row r="32">
      <c r="A32" s="2" t="inlineStr">
        <is>
          <t>16B00105</t>
        </is>
      </c>
      <c r="B32" s="2">
        <f>VLOOKUP(A32,'[1]PCN23 Query'!$1:$1048576,5,FALSE)</f>
        <v/>
      </c>
      <c r="C32" s="2" t="inlineStr">
        <is>
          <t>5 MXS</t>
        </is>
      </c>
      <c r="D32" s="2" t="inlineStr">
        <is>
          <t>5 MXS</t>
        </is>
      </c>
      <c r="E32" s="2" t="inlineStr">
        <is>
          <t>F030824A</t>
        </is>
      </c>
      <c r="F32" s="2" t="inlineStr">
        <is>
          <t>taillight broken`</t>
        </is>
      </c>
      <c r="G32" s="8" t="n">
        <v>45359</v>
      </c>
      <c r="H32" s="3" t="n">
        <v>391.32</v>
      </c>
      <c r="I32" s="8" t="n">
        <v>45390</v>
      </c>
    </row>
    <row r="33">
      <c r="A33" s="2" t="inlineStr">
        <is>
          <t>16C00120</t>
        </is>
      </c>
      <c r="B33" s="2">
        <f>VLOOKUP(A33,'[1]PCN23 Query'!$1:$1048576,5,FALSE)</f>
        <v/>
      </c>
      <c r="C33" s="2" t="inlineStr">
        <is>
          <t>5 MXS</t>
        </is>
      </c>
      <c r="D33" s="2" t="inlineStr">
        <is>
          <t>5 MXS</t>
        </is>
      </c>
      <c r="E33" s="2" t="inlineStr">
        <is>
          <t>A041224A</t>
        </is>
      </c>
      <c r="F33" s="2" t="inlineStr">
        <is>
          <t>FRONT TIRES HAVE EXTREME WEAR</t>
        </is>
      </c>
      <c r="G33" s="8" t="n">
        <v>45394</v>
      </c>
      <c r="H33" s="3" t="n">
        <v>450.68</v>
      </c>
      <c r="I33" s="8" t="n">
        <v>45455</v>
      </c>
    </row>
    <row r="34">
      <c r="A34" s="2" t="inlineStr">
        <is>
          <t>16B00106</t>
        </is>
      </c>
      <c r="B34" s="2">
        <f>VLOOKUP(A34,'[1]PCN23 Query'!$1:$1048576,5,FALSE)</f>
        <v/>
      </c>
      <c r="C34" s="2" t="inlineStr">
        <is>
          <t>5 MXS</t>
        </is>
      </c>
      <c r="D34" s="2" t="inlineStr">
        <is>
          <t>5 MXS</t>
        </is>
      </c>
      <c r="E34" s="2" t="inlineStr">
        <is>
          <t>A041624B</t>
        </is>
      </c>
      <c r="F34" s="2" t="inlineStr">
        <is>
          <t>WIND DAMAGE TO BACK P/S DOOR</t>
        </is>
      </c>
      <c r="G34" s="8" t="n">
        <v>45398</v>
      </c>
      <c r="H34" s="3" t="n">
        <v>706.85</v>
      </c>
      <c r="I34" s="8" t="n">
        <v>45440</v>
      </c>
    </row>
    <row r="35">
      <c r="A35" s="2" t="inlineStr">
        <is>
          <t>16B00102</t>
        </is>
      </c>
      <c r="B35" s="2">
        <f>VLOOKUP(A35,'[1]PCN23 Query'!$1:$1048576,5,FALSE)</f>
        <v/>
      </c>
      <c r="C35" s="2" t="inlineStr">
        <is>
          <t>5 MXS</t>
        </is>
      </c>
      <c r="D35" s="2" t="inlineStr">
        <is>
          <t>5 MXS</t>
        </is>
      </c>
      <c r="E35" s="2" t="inlineStr">
        <is>
          <t>F050124A</t>
        </is>
      </c>
      <c r="F35" s="2" t="inlineStr">
        <is>
          <t>P/S MIRROR AND CORNER PANEL DAMAGED</t>
        </is>
      </c>
      <c r="G35" s="8" t="n">
        <v>45413</v>
      </c>
      <c r="H35" s="3" t="n">
        <v>1182.72</v>
      </c>
      <c r="I35" s="8" t="n">
        <v>45443</v>
      </c>
    </row>
    <row r="36">
      <c r="A36" s="2" t="inlineStr">
        <is>
          <t>16B00099</t>
        </is>
      </c>
      <c r="B36" s="2">
        <f>VLOOKUP(A36,'[1]PCN23 Query'!$1:$1048576,5,FALSE)</f>
        <v/>
      </c>
      <c r="C36" s="2" t="inlineStr">
        <is>
          <t>5 MXS</t>
        </is>
      </c>
      <c r="D36" s="2" t="inlineStr">
        <is>
          <t>5 MXS</t>
        </is>
      </c>
      <c r="E36" s="2" t="inlineStr">
        <is>
          <t>A050824A</t>
        </is>
      </c>
      <c r="F36" s="2" t="inlineStr">
        <is>
          <t>LT REAR TOP CORNER, LT REAR CORNER PANEL SCRAP.</t>
        </is>
      </c>
      <c r="G36" s="8" t="n">
        <v>45420</v>
      </c>
      <c r="H36" s="3" t="n">
        <v>6392.38</v>
      </c>
      <c r="I36" s="8" t="n"/>
    </row>
    <row r="37">
      <c r="A37" s="2" t="inlineStr">
        <is>
          <t>15B00066</t>
        </is>
      </c>
      <c r="B37" s="2">
        <f>VLOOKUP(A37,'[1]PCN23 Query'!$1:$1048576,5,FALSE)</f>
        <v/>
      </c>
      <c r="C37" s="2" t="inlineStr">
        <is>
          <t>5 MXS</t>
        </is>
      </c>
      <c r="D37" s="2" t="inlineStr">
        <is>
          <t>5 MXS</t>
        </is>
      </c>
      <c r="E37" s="2" t="inlineStr">
        <is>
          <t>A060424A</t>
        </is>
      </c>
      <c r="F37" s="2" t="inlineStr">
        <is>
          <t>WIND DAMAGE TO P/S DOOR</t>
        </is>
      </c>
      <c r="G37" s="8" t="n">
        <v>45447</v>
      </c>
      <c r="H37" s="3" t="n">
        <v>0</v>
      </c>
      <c r="I37" s="8" t="n"/>
    </row>
    <row r="38">
      <c r="A38" s="2" t="inlineStr">
        <is>
          <t>16C00110</t>
        </is>
      </c>
      <c r="B38" s="2">
        <f>VLOOKUP(A38,'[1]PCN23 Query'!$1:$1048576,5,FALSE)</f>
        <v/>
      </c>
      <c r="C38" s="2" t="inlineStr">
        <is>
          <t>5 MXS</t>
        </is>
      </c>
      <c r="D38" s="2" t="inlineStr">
        <is>
          <t>5 MXS</t>
        </is>
      </c>
      <c r="E38" s="2" t="inlineStr">
        <is>
          <t>A072524A</t>
        </is>
      </c>
      <c r="F38" s="2" t="inlineStr">
        <is>
          <t>DOOR CHECKS DAMAGE, D/S DOOR HINGE AND PANEL BENT, P/S REAR FENDER BENT</t>
        </is>
      </c>
      <c r="G38" s="8" t="n">
        <v>45498</v>
      </c>
      <c r="H38" s="3" t="n">
        <v>470.45</v>
      </c>
      <c r="I38" s="8" t="n">
        <v>45552</v>
      </c>
    </row>
    <row r="39">
      <c r="A39" s="2" t="inlineStr">
        <is>
          <t>16C00104</t>
        </is>
      </c>
      <c r="B39" s="2">
        <f>VLOOKUP(A39,'[1]PCN23 Query'!$1:$1048576,5,FALSE)</f>
        <v/>
      </c>
      <c r="C39" s="2" t="inlineStr">
        <is>
          <t>5 MXS</t>
        </is>
      </c>
      <c r="D39" s="2" t="inlineStr">
        <is>
          <t>5 MXS</t>
        </is>
      </c>
      <c r="E39" s="2" t="inlineStr">
        <is>
          <t>A073024A</t>
        </is>
      </c>
      <c r="F39" s="2" t="inlineStr">
        <is>
          <t>D/S DOOR CHECKS, HINGES, AND PANEL DAMAGED</t>
        </is>
      </c>
      <c r="G39" s="8" t="n">
        <v>45503</v>
      </c>
      <c r="H39" s="3" t="n">
        <v>0</v>
      </c>
      <c r="I39" s="8" t="n"/>
    </row>
    <row r="40">
      <c r="A40" s="2" t="inlineStr">
        <is>
          <t>16C00107</t>
        </is>
      </c>
      <c r="B40" s="2">
        <f>VLOOKUP(A40,'[1]PCN23 Query'!$1:$1048576,5,FALSE)</f>
        <v/>
      </c>
      <c r="C40" s="2" t="inlineStr">
        <is>
          <t>5 MXS</t>
        </is>
      </c>
      <c r="D40" s="2" t="inlineStr">
        <is>
          <t>5 MXS</t>
        </is>
      </c>
      <c r="E40" s="2" t="inlineStr">
        <is>
          <t>A080124A</t>
        </is>
      </c>
      <c r="F40" s="2" t="inlineStr">
        <is>
          <t>DAMAGE TO DOOR CHECKS ON BOTH DOORS (WIND DAMAGE) AND DIMPLES ON DOOR (WAIVER)</t>
        </is>
      </c>
      <c r="G40" s="8" t="n">
        <v>45505</v>
      </c>
      <c r="H40" s="3" t="n">
        <v>0</v>
      </c>
      <c r="I40" s="8" t="n"/>
    </row>
    <row r="41">
      <c r="A41" s="2" t="inlineStr">
        <is>
          <t>16B00114</t>
        </is>
      </c>
      <c r="B41" s="2">
        <f>VLOOKUP(A41,'[1]PCN23 Query'!$1:$1048576,5,FALSE)</f>
        <v/>
      </c>
      <c r="C41" s="2" t="inlineStr">
        <is>
          <t>5 MXS</t>
        </is>
      </c>
      <c r="D41" s="2" t="inlineStr">
        <is>
          <t>5 MXS</t>
        </is>
      </c>
      <c r="E41" s="2" t="inlineStr">
        <is>
          <t>F090424A</t>
        </is>
      </c>
      <c r="F41" s="2" t="inlineStr">
        <is>
          <t>ROOF DAMAGED BY OVERHANG</t>
        </is>
      </c>
      <c r="G41" s="8" t="n">
        <v>45539</v>
      </c>
      <c r="H41" s="3" t="n">
        <v>67.5</v>
      </c>
      <c r="I41" s="8" t="n">
        <v>45552</v>
      </c>
    </row>
    <row r="42">
      <c r="A42" s="2" t="inlineStr">
        <is>
          <t>16B00115</t>
        </is>
      </c>
      <c r="B42" s="2">
        <f>VLOOKUP(A42,'[1]PCN23 Query'!$1:$1048576,5,FALSE)</f>
        <v/>
      </c>
      <c r="C42" s="2" t="inlineStr">
        <is>
          <t>5 OSS</t>
        </is>
      </c>
      <c r="D42" s="2" t="inlineStr">
        <is>
          <t>5 OSS</t>
        </is>
      </c>
      <c r="E42" s="2" t="inlineStr">
        <is>
          <t>A090524A</t>
        </is>
      </c>
      <c r="F42" s="2" t="inlineStr">
        <is>
          <t>RAN OVER SPIKE STRIP AT ECP (TIRE ONLY)</t>
        </is>
      </c>
      <c r="G42" s="8" t="n">
        <v>45540</v>
      </c>
      <c r="H42" s="3" t="n">
        <v>0</v>
      </c>
      <c r="I42" s="8" t="n"/>
    </row>
    <row r="43">
      <c r="A43" s="2" t="inlineStr">
        <is>
          <t>18E00034</t>
        </is>
      </c>
      <c r="B43" s="2">
        <f>VLOOKUP(A43,'[1]PCN23 Query'!$1:$1048576,5,FALSE)</f>
        <v/>
      </c>
      <c r="C43" s="2" t="inlineStr">
        <is>
          <t>705 MUNS</t>
        </is>
      </c>
      <c r="D43" s="2" t="inlineStr">
        <is>
          <t>705 MUNS</t>
        </is>
      </c>
      <c r="E43" s="2" t="inlineStr">
        <is>
          <t>F040424A</t>
        </is>
      </c>
      <c r="F43" s="2" t="inlineStr">
        <is>
          <t xml:space="preserve">MINOR DAMAGE TO HEADLIGHT BRAcKET, WELDED TOGETHER IN 5 MINUTES </t>
        </is>
      </c>
      <c r="G43" s="8" t="n">
        <v>45386</v>
      </c>
      <c r="H43" s="3" t="n">
        <v>0</v>
      </c>
      <c r="I43" s="8" t="n"/>
    </row>
    <row r="44">
      <c r="A44" s="2" t="inlineStr">
        <is>
          <t>05E00241</t>
        </is>
      </c>
      <c r="B44" s="2">
        <f>VLOOKUP(A44,'[1]PCN23 Query'!$1:$1048576,5,FALSE)</f>
        <v/>
      </c>
      <c r="C44" s="2" t="inlineStr">
        <is>
          <t>705 MUNS</t>
        </is>
      </c>
      <c r="D44" s="2" t="inlineStr">
        <is>
          <t>705 MUNS</t>
        </is>
      </c>
      <c r="E44" s="2" t="inlineStr">
        <is>
          <t>F040924A</t>
        </is>
      </c>
      <c r="F44" s="2" t="inlineStr">
        <is>
          <t>D/S WINDOW SHATTERED, D/S WINDOW TRACK</t>
        </is>
      </c>
      <c r="G44" s="8" t="n">
        <v>45391</v>
      </c>
      <c r="H44" s="3" t="n">
        <v>150</v>
      </c>
      <c r="I44" s="8" t="n"/>
    </row>
    <row r="45">
      <c r="A45" s="2" t="inlineStr">
        <is>
          <t>10B02055</t>
        </is>
      </c>
      <c r="B45" s="2">
        <f>VLOOKUP(A45,'[1]PCN23 Query'!$1:$1048576,5,FALSE)</f>
        <v/>
      </c>
      <c r="C45" s="2" t="inlineStr">
        <is>
          <t>69 BGS</t>
        </is>
      </c>
      <c r="D45" s="2" t="inlineStr">
        <is>
          <t>69 BGS</t>
        </is>
      </c>
      <c r="E45" s="2" t="inlineStr">
        <is>
          <t>A100124A</t>
        </is>
      </c>
      <c r="F45" s="2" t="inlineStr">
        <is>
          <t>D/S WING DAMAGE</t>
        </is>
      </c>
      <c r="G45" s="8" t="n">
        <v>45566</v>
      </c>
      <c r="H45" s="3" t="n">
        <v>0</v>
      </c>
      <c r="I45" s="8" t="n"/>
    </row>
    <row r="46">
      <c r="A46" s="2" t="inlineStr">
        <is>
          <t>10B02056</t>
        </is>
      </c>
      <c r="B46" s="2">
        <f>VLOOKUP(A46,'[1]PCN23 Query'!$1:$1048576,5,FALSE)</f>
        <v/>
      </c>
      <c r="C46" s="2" t="inlineStr">
        <is>
          <t>23 BGS</t>
        </is>
      </c>
      <c r="D46" s="2" t="inlineStr">
        <is>
          <t>23 BGS</t>
        </is>
      </c>
      <c r="E46" s="2" t="inlineStr">
        <is>
          <t>A100124B</t>
        </is>
      </c>
      <c r="F46" s="2" t="inlineStr">
        <is>
          <t>BREAK BOOSTER, NO POWER STEERING, NO COOLANT</t>
        </is>
      </c>
      <c r="G46" s="8" t="n">
        <v>45566</v>
      </c>
      <c r="H46" s="3" t="n">
        <v>0</v>
      </c>
      <c r="I46" s="8" t="n"/>
    </row>
    <row r="47">
      <c r="A47" s="2" t="inlineStr">
        <is>
          <t>11B01322</t>
        </is>
      </c>
      <c r="B47" s="2">
        <f>VLOOKUP(A47,'[1]PCN23 Query'!$1:$1048576,5,FALSE)</f>
        <v/>
      </c>
      <c r="C47" s="2" t="inlineStr">
        <is>
          <t>23 BGS</t>
        </is>
      </c>
      <c r="D47" s="2" t="inlineStr">
        <is>
          <t>23 BGS</t>
        </is>
      </c>
      <c r="E47" s="2" t="inlineStr">
        <is>
          <t>A100124C</t>
        </is>
      </c>
      <c r="F47" s="2" t="inlineStr">
        <is>
          <t>D/S WINDOW DOOR CRANK BROKEN OFF</t>
        </is>
      </c>
      <c r="G47" s="8" t="n">
        <v>45566</v>
      </c>
      <c r="H47" s="3" t="n">
        <v>0</v>
      </c>
      <c r="I47" s="8" t="n"/>
    </row>
    <row r="48">
      <c r="A48" s="2" t="inlineStr">
        <is>
          <t>11B01403</t>
        </is>
      </c>
      <c r="B48" s="2">
        <f>VLOOKUP(A48,'[1]PCN23 Query'!$1:$1048576,5,FALSE)</f>
        <v/>
      </c>
      <c r="C48" s="2" t="inlineStr">
        <is>
          <t>69 BGS</t>
        </is>
      </c>
      <c r="D48" s="2" t="inlineStr">
        <is>
          <t>69 BGS</t>
        </is>
      </c>
      <c r="E48" s="2" t="inlineStr">
        <is>
          <t>A100124D</t>
        </is>
      </c>
      <c r="F48" s="2" t="inlineStr">
        <is>
          <t xml:space="preserve">WIND DAMAGE  </t>
        </is>
      </c>
      <c r="G48" s="8" t="n">
        <v>45566</v>
      </c>
      <c r="H48" s="3" t="n">
        <v>0</v>
      </c>
      <c r="I48" s="8" t="n"/>
    </row>
    <row r="49">
      <c r="A49" s="2" t="inlineStr">
        <is>
          <t>11B01317</t>
        </is>
      </c>
      <c r="B49" s="2">
        <f>VLOOKUP(A49,'[1]PCN23 Query'!$1:$1048576,5,FALSE)</f>
        <v/>
      </c>
      <c r="C49" s="2" t="inlineStr">
        <is>
          <t>69 BGS</t>
        </is>
      </c>
      <c r="D49" s="2" t="inlineStr">
        <is>
          <t>69 BGS</t>
        </is>
      </c>
      <c r="E49" s="2" t="inlineStr">
        <is>
          <t>A100124E</t>
        </is>
      </c>
      <c r="F49" s="2" t="inlineStr">
        <is>
          <t>WIND DAMAGE P/S DOOR, LEFT REAR DOOR LOWER HINGE</t>
        </is>
      </c>
      <c r="G49" s="8" t="n">
        <v>45566</v>
      </c>
      <c r="H49" s="3" t="n">
        <v>0</v>
      </c>
      <c r="I49" s="8" t="n"/>
    </row>
    <row r="50">
      <c r="A50" s="2" t="inlineStr">
        <is>
          <t>10B01703</t>
        </is>
      </c>
      <c r="B50" s="2">
        <f>VLOOKUP(A50,'[1]PCN23 Query'!$1:$1048576,5,FALSE)</f>
        <v/>
      </c>
      <c r="C50" s="2" t="inlineStr">
        <is>
          <t>23 BGS</t>
        </is>
      </c>
      <c r="D50" s="2" t="inlineStr">
        <is>
          <t>23 BGS</t>
        </is>
      </c>
      <c r="E50" s="2" t="inlineStr">
        <is>
          <t>A100124F</t>
        </is>
      </c>
      <c r="F50" s="2" t="inlineStr">
        <is>
          <t>P/S REAR BOX AND TAIL LIGHT</t>
        </is>
      </c>
      <c r="G50" s="8" t="n">
        <v>45566</v>
      </c>
      <c r="H50" s="3" t="n">
        <v>0</v>
      </c>
      <c r="I50" s="8" t="n"/>
    </row>
    <row r="51">
      <c r="A51" s="2" t="inlineStr">
        <is>
          <t>10B02062</t>
        </is>
      </c>
      <c r="B51" s="2">
        <f>VLOOKUP(A51,'[1]PCN23 Query'!$1:$1048576,5,FALSE)</f>
        <v/>
      </c>
      <c r="C51" s="2" t="inlineStr">
        <is>
          <t>69 BGS</t>
        </is>
      </c>
      <c r="D51" s="2" t="inlineStr">
        <is>
          <t>69 BGS</t>
        </is>
      </c>
      <c r="E51" s="2" t="inlineStr">
        <is>
          <t>A100124G</t>
        </is>
      </c>
      <c r="F51" s="2" t="inlineStr">
        <is>
          <t>PENCIL HOLES IN DASH, ASSIST HANDLE BY SLIDING DOOR, P/S AND D/S WIND DAMAGE</t>
        </is>
      </c>
      <c r="G51" s="8" t="n">
        <v>45566</v>
      </c>
      <c r="H51" s="3" t="n">
        <v>0</v>
      </c>
      <c r="I51" s="8" t="n"/>
    </row>
    <row r="52">
      <c r="A52" s="2" t="inlineStr">
        <is>
          <t>16B00102</t>
        </is>
      </c>
      <c r="B52" s="2">
        <f>VLOOKUP(A52,'[1]PCN23 Query'!$1:$1048576,5,FALSE)</f>
        <v/>
      </c>
      <c r="C52" s="2" t="inlineStr">
        <is>
          <t>5 MXS</t>
        </is>
      </c>
      <c r="D52" s="2" t="inlineStr">
        <is>
          <t>5 MXS</t>
        </is>
      </c>
      <c r="E52" s="2" t="inlineStr">
        <is>
          <t>A100824A</t>
        </is>
      </c>
      <c r="F52" s="2" t="inlineStr">
        <is>
          <t>WIND DAMAGE TO D/S &amp; P/S DOORS</t>
        </is>
      </c>
      <c r="G52" s="8" t="n">
        <v>45573</v>
      </c>
      <c r="H52" s="3" t="n">
        <v>0</v>
      </c>
      <c r="I52" s="8" t="n"/>
    </row>
    <row r="53">
      <c r="A53" s="2" t="inlineStr">
        <is>
          <t>16B00106</t>
        </is>
      </c>
      <c r="B53" s="2">
        <f>VLOOKUP(A53,'[1]PCN23 Query'!$1:$1048576,5,FALSE)</f>
        <v/>
      </c>
      <c r="C53" s="2" t="inlineStr">
        <is>
          <t>5 MXS</t>
        </is>
      </c>
      <c r="D53" s="2" t="inlineStr">
        <is>
          <t>5 MXS</t>
        </is>
      </c>
      <c r="E53" s="2" t="inlineStr">
        <is>
          <t>A101024A</t>
        </is>
      </c>
      <c r="F53" s="2" t="inlineStr">
        <is>
          <t>DAMAGE TO D/S DOOR, PANEL, HARNESS, MIRROR, DOOR CHECK AND P/S DOOR AND MIRROR HOUSING</t>
        </is>
      </c>
      <c r="G53" s="8" t="n">
        <v>45575</v>
      </c>
      <c r="H53" s="3" t="n">
        <v>0</v>
      </c>
      <c r="I53" s="8" t="n"/>
    </row>
    <row r="54">
      <c r="A54" s="2" t="inlineStr">
        <is>
          <t>10B02067</t>
        </is>
      </c>
      <c r="B54" s="2">
        <f>VLOOKUP(A54,'[1]PCN23 Query'!$1:$1048576,5,FALSE)</f>
        <v/>
      </c>
      <c r="C54" s="2" t="inlineStr">
        <is>
          <t>69 BGS</t>
        </is>
      </c>
      <c r="D54" s="2" t="inlineStr">
        <is>
          <t>69 BGS</t>
        </is>
      </c>
      <c r="E54" s="2" t="inlineStr">
        <is>
          <t>F101524A</t>
        </is>
      </c>
      <c r="F54" s="2" t="inlineStr">
        <is>
          <t>BROKE SLIDING DOOR GLASS</t>
        </is>
      </c>
      <c r="G54" s="8" t="n">
        <v>45580</v>
      </c>
      <c r="H54" s="3" t="n">
        <v>0</v>
      </c>
      <c r="I54" s="8" t="n"/>
    </row>
    <row r="55">
      <c r="A55" s="2" t="inlineStr">
        <is>
          <t>07B00702</t>
        </is>
      </c>
      <c r="B55" s="2">
        <f>VLOOKUP(A55,'[1]PCN23 Query'!$1:$1048576,5,FALSE)</f>
        <v/>
      </c>
      <c r="C55" s="2" t="inlineStr">
        <is>
          <t>5 MXS</t>
        </is>
      </c>
      <c r="D55" s="2" t="inlineStr">
        <is>
          <t>5 MXS</t>
        </is>
      </c>
      <c r="E55" s="2" t="inlineStr">
        <is>
          <t>A103024A</t>
        </is>
      </c>
      <c r="F55" s="2" t="inlineStr">
        <is>
          <t>PLUGGED DPF</t>
        </is>
      </c>
      <c r="G55" s="8" t="n">
        <v>45595</v>
      </c>
      <c r="H55" s="3" t="n">
        <v>0</v>
      </c>
      <c r="I55" s="8" t="n"/>
    </row>
    <row r="56">
      <c r="A56" s="2" t="inlineStr">
        <is>
          <t>23D08573</t>
        </is>
      </c>
      <c r="B56" s="2" t="inlineStr">
        <is>
          <t>SKD LDR</t>
        </is>
      </c>
      <c r="C56" s="2" t="inlineStr">
        <is>
          <t>5 MUNS</t>
        </is>
      </c>
      <c r="D56" s="2" t="inlineStr">
        <is>
          <t>5 MUNS</t>
        </is>
      </c>
      <c r="E56" s="2" t="inlineStr">
        <is>
          <t>A120324A</t>
        </is>
      </c>
      <c r="F56" s="2" t="inlineStr">
        <is>
          <t>SHATTERED WINDSHIELD, WIPER ARM</t>
        </is>
      </c>
      <c r="G56" s="8" t="n">
        <v>45629</v>
      </c>
      <c r="H56" s="3" t="n">
        <v>0</v>
      </c>
      <c r="I56" s="8" t="n"/>
    </row>
    <row r="57">
      <c r="A57" s="2" t="inlineStr">
        <is>
          <t>07B00135</t>
        </is>
      </c>
      <c r="B57" s="2">
        <f>VLOOKUP(A57,'[1]PCN23 Query'!$1:$1048576,5,FALSE)</f>
        <v/>
      </c>
      <c r="C57" s="2" t="inlineStr">
        <is>
          <t>705 MUNS</t>
        </is>
      </c>
      <c r="D57" s="2" t="inlineStr">
        <is>
          <t>705 MUNS</t>
        </is>
      </c>
      <c r="E57" s="2" t="inlineStr">
        <is>
          <t>A120924A</t>
        </is>
      </c>
      <c r="F57" s="2" t="inlineStr">
        <is>
          <t>FIFTH WHEEL PLATE WORN DOWN, NOT GREASED</t>
        </is>
      </c>
      <c r="G57" s="8" t="n">
        <v>45635</v>
      </c>
      <c r="H57" s="3" t="n"/>
      <c r="I57" s="8" t="n"/>
    </row>
    <row r="58">
      <c r="A58" s="2" t="inlineStr">
        <is>
          <t>16B00362</t>
        </is>
      </c>
      <c r="B58" s="2">
        <f>VLOOKUP(A58,'[1]PCN23 Query'!$1:$1048576,5,FALSE)</f>
        <v/>
      </c>
      <c r="C58" s="2" t="inlineStr">
        <is>
          <t>5 MUNS</t>
        </is>
      </c>
      <c r="D58" s="2" t="inlineStr">
        <is>
          <t>5 MUNS</t>
        </is>
      </c>
      <c r="E58" s="2" t="inlineStr">
        <is>
          <t>A121724A</t>
        </is>
      </c>
      <c r="F58" s="2" t="inlineStr">
        <is>
          <t>REAR BUMBER DENT LEFT SIDE</t>
        </is>
      </c>
      <c r="G58" s="8" t="n">
        <v>45643</v>
      </c>
      <c r="H58" s="3" t="n">
        <v>0</v>
      </c>
      <c r="I58" s="8" t="n"/>
    </row>
    <row r="59">
      <c r="A59" s="2" t="inlineStr">
        <is>
          <t>16B00109</t>
        </is>
      </c>
      <c r="B59" s="2">
        <f>VLOOKUP(A59,'[1]PCN23 Query'!$1:$1048576,5,FALSE)</f>
        <v/>
      </c>
      <c r="C59" s="2" t="inlineStr">
        <is>
          <t>705 MUNS</t>
        </is>
      </c>
      <c r="D59" s="2" t="inlineStr">
        <is>
          <t>705 MUNS</t>
        </is>
      </c>
      <c r="E59" s="2" t="inlineStr">
        <is>
          <t>F122324A</t>
        </is>
      </c>
      <c r="F59" s="2" t="inlineStr">
        <is>
          <t>DENT REAR PASSENGER SIDE NEAR WHEEL WELL</t>
        </is>
      </c>
      <c r="G59" s="8" t="n">
        <v>45649</v>
      </c>
      <c r="H59" s="3" t="n">
        <v>0</v>
      </c>
      <c r="I59" s="8" t="n"/>
    </row>
    <row r="60">
      <c r="A60" s="2" t="inlineStr">
        <is>
          <t>08B01884</t>
        </is>
      </c>
      <c r="B60" s="2" t="inlineStr">
        <is>
          <t>FTL TRC</t>
        </is>
      </c>
      <c r="C60" s="2" t="inlineStr">
        <is>
          <t>5 MUNS</t>
        </is>
      </c>
      <c r="D60" s="2" t="inlineStr">
        <is>
          <t>5 MUNS</t>
        </is>
      </c>
      <c r="E60" s="2" t="inlineStr">
        <is>
          <t>F030724A</t>
        </is>
      </c>
      <c r="F60" s="2" t="inlineStr">
        <is>
          <t>EXHAUST STACK</t>
        </is>
      </c>
      <c r="G60" s="8" t="n">
        <v>45358</v>
      </c>
      <c r="H60" s="3" t="n">
        <v>0</v>
      </c>
      <c r="I60" s="8" t="n"/>
    </row>
    <row r="61">
      <c r="A61" s="2" t="inlineStr">
        <is>
          <t>05E00241</t>
        </is>
      </c>
      <c r="B61" s="2" t="inlineStr">
        <is>
          <t>HYS FL6</t>
        </is>
      </c>
      <c r="C61" s="2" t="inlineStr">
        <is>
          <t>705 MUNS</t>
        </is>
      </c>
      <c r="D61" s="2" t="inlineStr">
        <is>
          <t>705 MUNS</t>
        </is>
      </c>
      <c r="E61" s="2" t="inlineStr">
        <is>
          <t>F040924A</t>
        </is>
      </c>
      <c r="F61" s="2" t="inlineStr">
        <is>
          <t>D/S WINDOW SHATTERED, D/S WINDOW TRACK</t>
        </is>
      </c>
      <c r="G61" s="8" t="n">
        <v>45391</v>
      </c>
      <c r="H61" s="3" t="n">
        <v>150</v>
      </c>
      <c r="I61" s="8" t="n"/>
    </row>
    <row r="62">
      <c r="A62" s="2" t="inlineStr">
        <is>
          <t>10B00284</t>
        </is>
      </c>
      <c r="B62" s="2" t="inlineStr">
        <is>
          <t>FRD CGO</t>
        </is>
      </c>
      <c r="C62" s="2" t="inlineStr">
        <is>
          <t>5 MUNS</t>
        </is>
      </c>
      <c r="D62" s="2" t="inlineStr">
        <is>
          <t>5 MUNS</t>
        </is>
      </c>
      <c r="E62" s="2" t="inlineStr">
        <is>
          <t>F082724A</t>
        </is>
      </c>
      <c r="F62" s="2" t="inlineStr">
        <is>
          <t>D/S BACK STEP BENT</t>
        </is>
      </c>
      <c r="G62" s="8" t="n">
        <v>45531</v>
      </c>
      <c r="H62" s="3" t="n">
        <v>1164</v>
      </c>
      <c r="I62" s="8" t="n">
        <v>45601</v>
      </c>
    </row>
    <row r="63">
      <c r="A63" s="2" t="inlineStr">
        <is>
          <t>10B02056</t>
        </is>
      </c>
      <c r="B63" s="2" t="inlineStr">
        <is>
          <t>CHE MLT</t>
        </is>
      </c>
      <c r="C63" s="2" t="inlineStr">
        <is>
          <t>23 BGS</t>
        </is>
      </c>
      <c r="D63" s="2" t="inlineStr">
        <is>
          <t>23 BGS</t>
        </is>
      </c>
      <c r="E63" s="2" t="inlineStr">
        <is>
          <t>A100124B</t>
        </is>
      </c>
      <c r="F63" s="2" t="inlineStr">
        <is>
          <t>BREAK BOOSTER, NO POWER STEERING, NO COOLANT</t>
        </is>
      </c>
      <c r="G63" s="8" t="n">
        <v>45566</v>
      </c>
      <c r="H63" s="3" t="n">
        <v>0</v>
      </c>
      <c r="I63" s="8" t="n"/>
    </row>
    <row r="64">
      <c r="A64" s="2" t="inlineStr">
        <is>
          <t>11B01322</t>
        </is>
      </c>
      <c r="B64" s="2" t="inlineStr">
        <is>
          <t>CHE MLT</t>
        </is>
      </c>
      <c r="C64" s="2" t="inlineStr">
        <is>
          <t>23 BGS</t>
        </is>
      </c>
      <c r="D64" s="2" t="inlineStr">
        <is>
          <t>23 BGS</t>
        </is>
      </c>
      <c r="E64" s="2" t="inlineStr">
        <is>
          <t>A100124C</t>
        </is>
      </c>
      <c r="F64" s="2" t="inlineStr">
        <is>
          <t>D/S WINDOW DOOR CRANK BROKEN OFF</t>
        </is>
      </c>
      <c r="G64" s="8" t="n">
        <v>45566</v>
      </c>
      <c r="H64" s="3" t="n">
        <v>0</v>
      </c>
      <c r="I64" s="8" t="n"/>
    </row>
    <row r="65">
      <c r="A65" s="2" t="inlineStr">
        <is>
          <t>10B01703</t>
        </is>
      </c>
      <c r="B65" s="2" t="inlineStr">
        <is>
          <t>CHE P/U</t>
        </is>
      </c>
      <c r="C65" s="2" t="inlineStr">
        <is>
          <t>23 BGS</t>
        </is>
      </c>
      <c r="D65" s="2" t="inlineStr">
        <is>
          <t>23 BGS</t>
        </is>
      </c>
      <c r="E65" s="2" t="inlineStr">
        <is>
          <t>A100124F</t>
        </is>
      </c>
      <c r="F65" s="2" t="inlineStr">
        <is>
          <t>P/S REAR BOX AND TAIL LIGHT</t>
        </is>
      </c>
      <c r="G65" s="8" t="n">
        <v>45566</v>
      </c>
      <c r="H65" s="3" t="n">
        <v>0</v>
      </c>
      <c r="I65" s="8" t="n"/>
    </row>
    <row r="66">
      <c r="A66" s="2" t="inlineStr">
        <is>
          <t>16B00102</t>
        </is>
      </c>
      <c r="B66" s="2" t="inlineStr">
        <is>
          <t>FRD/VAN</t>
        </is>
      </c>
      <c r="C66" s="2" t="inlineStr">
        <is>
          <t>5 MXS</t>
        </is>
      </c>
      <c r="D66" s="2" t="inlineStr">
        <is>
          <t>5 MXS</t>
        </is>
      </c>
      <c r="E66" s="2" t="inlineStr">
        <is>
          <t>A100824A</t>
        </is>
      </c>
      <c r="F66" s="2" t="inlineStr">
        <is>
          <t>WIND DAMAGE TO D/S &amp; P/S DOORS</t>
        </is>
      </c>
      <c r="G66" s="8" t="n">
        <v>45573</v>
      </c>
      <c r="H66" s="3" t="n">
        <v>0</v>
      </c>
      <c r="I66" s="8" t="n"/>
    </row>
    <row r="67">
      <c r="A67" s="2" t="inlineStr">
        <is>
          <t>16B00106</t>
        </is>
      </c>
      <c r="B67" s="2" t="inlineStr">
        <is>
          <t>FRD/VAN</t>
        </is>
      </c>
      <c r="C67" s="2" t="inlineStr">
        <is>
          <t>5 MXS</t>
        </is>
      </c>
      <c r="D67" s="2" t="inlineStr">
        <is>
          <t>5 MXS</t>
        </is>
      </c>
      <c r="E67" s="2" t="inlineStr">
        <is>
          <t>A101024A</t>
        </is>
      </c>
      <c r="F67" s="2" t="inlineStr">
        <is>
          <t>DAMAGE TO D/S DOOR, PANEL, HARNESS, MIRROR, DOOR CHECK AND P/S DOOR AND MIRROR HOUSING</t>
        </is>
      </c>
      <c r="G67" s="8" t="n">
        <v>45575</v>
      </c>
      <c r="H67" s="3" t="n">
        <v>0</v>
      </c>
      <c r="I67" s="8" t="n"/>
    </row>
    <row r="68">
      <c r="A68" s="2" t="inlineStr">
        <is>
          <t>07B00702</t>
        </is>
      </c>
      <c r="B68" s="2" t="inlineStr">
        <is>
          <t>FRD P/U</t>
        </is>
      </c>
      <c r="C68" s="2" t="inlineStr">
        <is>
          <t>5 MXS</t>
        </is>
      </c>
      <c r="D68" s="2" t="inlineStr">
        <is>
          <t>5 MXS</t>
        </is>
      </c>
      <c r="E68" s="2" t="inlineStr">
        <is>
          <t>A103024A</t>
        </is>
      </c>
      <c r="F68" s="2" t="inlineStr">
        <is>
          <t>PLUGGED DPF</t>
        </is>
      </c>
      <c r="G68" s="8" t="n">
        <v>45595</v>
      </c>
      <c r="H68" s="3" t="n">
        <v>0</v>
      </c>
      <c r="I68" s="8" t="n"/>
    </row>
    <row r="69">
      <c r="A69" s="2" t="inlineStr">
        <is>
          <t>23D08573</t>
        </is>
      </c>
      <c r="B69" s="2" t="inlineStr">
        <is>
          <t>SKD LDR</t>
        </is>
      </c>
      <c r="C69" s="2" t="inlineStr">
        <is>
          <t>5 MUNS</t>
        </is>
      </c>
      <c r="D69" s="2" t="inlineStr">
        <is>
          <t>5 MUNS</t>
        </is>
      </c>
      <c r="E69" s="2" t="inlineStr">
        <is>
          <t>A120324A</t>
        </is>
      </c>
      <c r="F69" s="2" t="inlineStr">
        <is>
          <t>SHATTERED WINDSHIELD, WIPER ARM</t>
        </is>
      </c>
      <c r="G69" s="8" t="n">
        <v>45629</v>
      </c>
      <c r="H69" s="3" t="n">
        <v>0</v>
      </c>
      <c r="I69" s="8" t="n"/>
    </row>
    <row r="70">
      <c r="A70" s="2" t="inlineStr">
        <is>
          <t>10B02063</t>
        </is>
      </c>
      <c r="B70" s="2" t="inlineStr">
        <is>
          <t>PET CRN</t>
        </is>
      </c>
      <c r="C70" s="2" t="inlineStr">
        <is>
          <t>23 BGS</t>
        </is>
      </c>
      <c r="D70" s="2" t="inlineStr">
        <is>
          <t>23 BGS</t>
        </is>
      </c>
      <c r="E70" s="2" t="inlineStr">
        <is>
          <t>A120324B</t>
        </is>
      </c>
      <c r="F70" s="2" t="inlineStr">
        <is>
          <t xml:space="preserve">Passenger's rear quarter panel damaged and rear door </t>
        </is>
      </c>
      <c r="G70" s="8" t="n">
        <v>45629</v>
      </c>
      <c r="H70" s="3" t="n">
        <v>2158.49</v>
      </c>
      <c r="I70" s="8" t="n"/>
    </row>
    <row r="71">
      <c r="A71" s="2" t="inlineStr">
        <is>
          <t>07B00135</t>
        </is>
      </c>
      <c r="B71" s="2" t="inlineStr">
        <is>
          <t>FTL TRC</t>
        </is>
      </c>
      <c r="C71" s="2" t="inlineStr">
        <is>
          <t>705 MUNS</t>
        </is>
      </c>
      <c r="D71" s="2" t="inlineStr">
        <is>
          <t>705 MUNS</t>
        </is>
      </c>
      <c r="E71" s="2" t="inlineStr">
        <is>
          <t>A120924A</t>
        </is>
      </c>
      <c r="F71" s="2" t="inlineStr">
        <is>
          <t>FIFTH WHEEL PLATE WORN DOWN, NOT GREASED</t>
        </is>
      </c>
      <c r="G71" s="8" t="n">
        <v>45635</v>
      </c>
      <c r="H71" s="3" t="n"/>
      <c r="I71" s="8" t="n"/>
    </row>
    <row r="72">
      <c r="A72" s="2" t="inlineStr">
        <is>
          <t>16B00362</t>
        </is>
      </c>
      <c r="B72" s="2" t="inlineStr">
        <is>
          <t>CHE PU</t>
        </is>
      </c>
      <c r="C72" s="2" t="inlineStr">
        <is>
          <t>5 MUNS</t>
        </is>
      </c>
      <c r="D72" s="2" t="inlineStr">
        <is>
          <t>5 MUNS</t>
        </is>
      </c>
      <c r="E72" s="2" t="inlineStr">
        <is>
          <t>A121724A</t>
        </is>
      </c>
      <c r="F72" s="2" t="inlineStr">
        <is>
          <t>REAR BUMBER DENT LEFT SIDE</t>
        </is>
      </c>
      <c r="G72" s="8" t="n">
        <v>45643</v>
      </c>
      <c r="H72" s="3" t="n">
        <v>0</v>
      </c>
      <c r="I72" s="8" t="n"/>
    </row>
    <row r="73">
      <c r="A73" s="2" t="inlineStr">
        <is>
          <t>16B00109</t>
        </is>
      </c>
      <c r="B73" s="2" t="inlineStr">
        <is>
          <t>FRD/VAN</t>
        </is>
      </c>
      <c r="C73" s="2" t="inlineStr">
        <is>
          <t>705 MUNS</t>
        </is>
      </c>
      <c r="D73" s="2" t="inlineStr">
        <is>
          <t>705 MUNS</t>
        </is>
      </c>
      <c r="E73" s="2" t="inlineStr">
        <is>
          <t>F122324A</t>
        </is>
      </c>
      <c r="F73" s="2" t="inlineStr">
        <is>
          <t>DENT REAR PASSENGER SIDE NEAR WHEEL WELL</t>
        </is>
      </c>
      <c r="G73" s="8" t="n">
        <v>45649</v>
      </c>
      <c r="H73" s="3" t="n">
        <v>0</v>
      </c>
      <c r="I73" s="8" t="n"/>
    </row>
    <row r="74">
      <c r="A74" s="2" t="inlineStr">
        <is>
          <t>00C00833</t>
        </is>
      </c>
      <c r="B74" s="2" t="inlineStr">
        <is>
          <t>GL0 DET</t>
        </is>
      </c>
      <c r="C74" s="2" t="inlineStr">
        <is>
          <t>23 BGS</t>
        </is>
      </c>
      <c r="D74" s="2" t="inlineStr">
        <is>
          <t>23 BGS</t>
        </is>
      </c>
      <c r="E74" s="2" t="inlineStr">
        <is>
          <t>F012325B</t>
        </is>
      </c>
      <c r="F74" s="2" t="inlineStr">
        <is>
          <t>RT REAR FENDER GOUGE, DAMAGE PAINT, RT REAR REFLECTOR DAMAGED</t>
        </is>
      </c>
      <c r="G74" s="8" t="n">
        <v>45680</v>
      </c>
      <c r="H74" s="3" t="n">
        <v>0</v>
      </c>
      <c r="I74" s="8" t="n"/>
    </row>
    <row r="75">
      <c r="A75" s="2" t="inlineStr">
        <is>
          <t>16B00251</t>
        </is>
      </c>
      <c r="B75" s="2" t="inlineStr">
        <is>
          <t>CHE PU</t>
        </is>
      </c>
      <c r="C75" s="2" t="inlineStr">
        <is>
          <t>23 BGS</t>
        </is>
      </c>
      <c r="D75" s="2" t="inlineStr">
        <is>
          <t>23 BGS</t>
        </is>
      </c>
      <c r="E75" s="2" t="inlineStr">
        <is>
          <t>F012825A</t>
        </is>
      </c>
      <c r="F75" s="2" t="inlineStr">
        <is>
          <t>Broken Driver's side view mirror</t>
        </is>
      </c>
      <c r="G75" s="8" t="n">
        <v>45685</v>
      </c>
      <c r="H75" s="3" t="n">
        <v>0</v>
      </c>
      <c r="I75" s="8" t="n"/>
    </row>
    <row r="76">
      <c r="A76" s="2" t="inlineStr">
        <is>
          <t>16C00104</t>
        </is>
      </c>
      <c r="B76" s="2" t="inlineStr">
        <is>
          <t>FRD B/T</t>
        </is>
      </c>
      <c r="C76" s="2" t="inlineStr">
        <is>
          <t>5 MXS</t>
        </is>
      </c>
      <c r="D76" s="2" t="inlineStr">
        <is>
          <t>5 MXS</t>
        </is>
      </c>
      <c r="E76" s="2" t="inlineStr">
        <is>
          <t>F012925A</t>
        </is>
      </c>
      <c r="F76" s="2" t="inlineStr">
        <is>
          <t>Front grill, front bumper, front pintle hook, rf front fender</t>
        </is>
      </c>
      <c r="G76" s="8" t="n">
        <v>45686</v>
      </c>
      <c r="H76" s="3" t="n">
        <v>0</v>
      </c>
      <c r="I76" s="8" t="n"/>
    </row>
    <row r="77">
      <c r="A77" s="2" t="inlineStr">
        <is>
          <t>10B02056</t>
        </is>
      </c>
      <c r="B77" s="2" t="inlineStr">
        <is>
          <t>CHE MLT</t>
        </is>
      </c>
      <c r="C77" s="2" t="inlineStr">
        <is>
          <t>23 BGS</t>
        </is>
      </c>
      <c r="D77" s="2" t="inlineStr">
        <is>
          <t>23 BGS</t>
        </is>
      </c>
      <c r="E77" s="2" t="inlineStr">
        <is>
          <t>F012925B</t>
        </is>
      </c>
      <c r="F77" s="2" t="inlineStr">
        <is>
          <t xml:space="preserve">REAR BUMPER, RH REAR SIDE PANEL </t>
        </is>
      </c>
      <c r="G77" s="8" t="n">
        <v>45686</v>
      </c>
      <c r="H77" s="3" t="n">
        <v>0</v>
      </c>
      <c r="I77" s="8" t="n"/>
    </row>
    <row r="78">
      <c r="A78" s="2" t="inlineStr">
        <is>
          <t>10B01682</t>
        </is>
      </c>
      <c r="B78" s="2" t="inlineStr">
        <is>
          <t>CHE P/U</t>
        </is>
      </c>
      <c r="C78" s="2" t="inlineStr">
        <is>
          <t>23 BGS</t>
        </is>
      </c>
      <c r="D78" s="2" t="inlineStr">
        <is>
          <t>23 BGS</t>
        </is>
      </c>
      <c r="E78" s="2" t="inlineStr">
        <is>
          <t>A013125A</t>
        </is>
      </c>
      <c r="F78" s="2" t="inlineStr">
        <is>
          <t>D/S DOOR HANDLE BROKEN-17 Sept not reported</t>
        </is>
      </c>
      <c r="G78" s="8" t="n">
        <v>45688</v>
      </c>
      <c r="H78" s="3" t="n">
        <v>810</v>
      </c>
      <c r="I78" s="8" t="n"/>
    </row>
    <row r="79">
      <c r="A79" s="2" t="inlineStr">
        <is>
          <t>23D08575</t>
        </is>
      </c>
      <c r="B79" s="2" t="inlineStr">
        <is>
          <t>SKD LDR</t>
        </is>
      </c>
      <c r="C79" s="2" t="inlineStr">
        <is>
          <t>5 MUNS</t>
        </is>
      </c>
      <c r="D79" s="2" t="inlineStr">
        <is>
          <t>5 MUNS</t>
        </is>
      </c>
      <c r="E79" s="2" t="inlineStr">
        <is>
          <t>A021125A</t>
        </is>
      </c>
      <c r="F79" s="2" t="inlineStr">
        <is>
          <t>FRONT WINDSHIELD BROKEN</t>
        </is>
      </c>
      <c r="G79" s="8" t="n">
        <v>45699</v>
      </c>
      <c r="H79" s="3" t="n">
        <v>91.70999999999999</v>
      </c>
      <c r="I79" s="8" t="n"/>
    </row>
    <row r="80">
      <c r="A80" s="2" t="inlineStr">
        <is>
          <t>11B01404</t>
        </is>
      </c>
      <c r="B80" s="2" t="inlineStr">
        <is>
          <t>CHE MLT</t>
        </is>
      </c>
      <c r="C80" s="2" t="inlineStr">
        <is>
          <t>23 BGS</t>
        </is>
      </c>
      <c r="D80" s="2" t="inlineStr">
        <is>
          <t>23 BGS</t>
        </is>
      </c>
      <c r="E80" s="2" t="inlineStr">
        <is>
          <t>A021225A</t>
        </is>
      </c>
      <c r="F80" s="2" t="inlineStr">
        <is>
          <t xml:space="preserve">Interior Damage, (Seat and Dash) </t>
        </is>
      </c>
      <c r="G80" s="8" t="n">
        <v>45700</v>
      </c>
      <c r="H80" s="3" t="n">
        <v>0</v>
      </c>
      <c r="I80" s="8" t="n"/>
    </row>
    <row r="81">
      <c r="A81" s="2" t="inlineStr">
        <is>
          <t>16B00101</t>
        </is>
      </c>
      <c r="B81" s="2" t="inlineStr">
        <is>
          <t>FRD/VAN</t>
        </is>
      </c>
      <c r="C81" s="2" t="inlineStr">
        <is>
          <t>23 BGS</t>
        </is>
      </c>
      <c r="D81" s="2" t="inlineStr">
        <is>
          <t>23 BGS</t>
        </is>
      </c>
      <c r="E81" s="2" t="inlineStr">
        <is>
          <t>A021125A</t>
        </is>
      </c>
      <c r="F81" s="2" t="inlineStr">
        <is>
          <t xml:space="preserve">WIND DAMAGE D/S DOOR, D/S FENDER, GAS DOOR </t>
        </is>
      </c>
      <c r="G81" s="8" t="n">
        <v>45699</v>
      </c>
      <c r="H81" s="3" t="n">
        <v>3910.52</v>
      </c>
      <c r="I81" s="8" t="n"/>
    </row>
    <row r="82">
      <c r="A82" s="2" t="inlineStr">
        <is>
          <t>16B00099</t>
        </is>
      </c>
      <c r="B82" s="2" t="inlineStr">
        <is>
          <t>FRD/VAN</t>
        </is>
      </c>
      <c r="C82" s="2" t="inlineStr">
        <is>
          <t>5 MXS</t>
        </is>
      </c>
      <c r="D82" s="2" t="inlineStr">
        <is>
          <t>5 MXS</t>
        </is>
      </c>
      <c r="E82" s="2" t="inlineStr">
        <is>
          <t>F022725B</t>
        </is>
      </c>
      <c r="F82" s="2" t="inlineStr">
        <is>
          <t>REIGHT REAR TAIL LIGHT BROKEN AND DAMAGE AROUND THE LIGHT (METAL WORK)</t>
        </is>
      </c>
      <c r="G82" s="8" t="n">
        <v>45715</v>
      </c>
      <c r="H82" s="3" t="n">
        <v>2055.6</v>
      </c>
      <c r="I82" s="8" t="n"/>
    </row>
    <row r="83">
      <c r="A83" s="2" t="inlineStr">
        <is>
          <t>10B02056</t>
        </is>
      </c>
      <c r="B83" s="2" t="inlineStr">
        <is>
          <t>CHE MLT</t>
        </is>
      </c>
      <c r="C83" s="2" t="inlineStr">
        <is>
          <t>5 AMXS</t>
        </is>
      </c>
      <c r="D83" s="2" t="inlineStr">
        <is>
          <t>5 AMXS</t>
        </is>
      </c>
      <c r="E83" s="2" t="inlineStr">
        <is>
          <t>F022725A</t>
        </is>
      </c>
      <c r="F83" s="2" t="inlineStr">
        <is>
          <t>DAMAGE TO BUMPER AND SIDE FENDER</t>
        </is>
      </c>
      <c r="G83" s="8" t="n">
        <v>45715</v>
      </c>
      <c r="H83" s="3" t="n">
        <v>0</v>
      </c>
      <c r="I83" s="8" t="n"/>
    </row>
    <row r="84">
      <c r="A84" s="2" t="inlineStr">
        <is>
          <t>07C00265</t>
        </is>
      </c>
      <c r="B84" s="2" t="inlineStr">
        <is>
          <t>BOBTAIL</t>
        </is>
      </c>
      <c r="C84" s="2" t="inlineStr">
        <is>
          <t>5 MXS</t>
        </is>
      </c>
      <c r="D84" s="2" t="inlineStr">
        <is>
          <t>5 MXS</t>
        </is>
      </c>
      <c r="E84" s="2" t="inlineStr">
        <is>
          <t>F030725B</t>
        </is>
      </c>
      <c r="F84" s="2" t="inlineStr">
        <is>
          <t>P/S MIRROR</t>
        </is>
      </c>
      <c r="G84" s="8" t="n">
        <v>45723</v>
      </c>
      <c r="H84" s="3" t="n">
        <v>0</v>
      </c>
      <c r="I84" s="8" t="n"/>
    </row>
    <row r="85">
      <c r="A85" s="2" t="inlineStr">
        <is>
          <t>16C00119</t>
        </is>
      </c>
      <c r="B85" s="2" t="inlineStr">
        <is>
          <t>FRD B/T</t>
        </is>
      </c>
      <c r="C85" s="2" t="inlineStr">
        <is>
          <t>5 MXS</t>
        </is>
      </c>
      <c r="D85" s="2" t="inlineStr">
        <is>
          <t>5 MXS</t>
        </is>
      </c>
      <c r="E85" s="2" t="inlineStr">
        <is>
          <t>A031025A</t>
        </is>
      </c>
      <c r="F85" s="2" t="inlineStr">
        <is>
          <t>P/S MIRROR</t>
        </is>
      </c>
      <c r="G85" s="8" t="n">
        <v>45726</v>
      </c>
      <c r="H85" s="3" t="n">
        <v>30.87</v>
      </c>
      <c r="I85" s="8" t="n"/>
    </row>
    <row r="86">
      <c r="A86" s="2" t="inlineStr">
        <is>
          <t>09B00651</t>
        </is>
      </c>
      <c r="B86" s="2" t="inlineStr">
        <is>
          <t>FRD P/U</t>
        </is>
      </c>
      <c r="C86" s="2" t="inlineStr">
        <is>
          <t>5 OSS</t>
        </is>
      </c>
      <c r="D86" s="2" t="inlineStr">
        <is>
          <t>23 BGS</t>
        </is>
      </c>
      <c r="E86" s="2" t="inlineStr">
        <is>
          <t>A042125A</t>
        </is>
      </c>
      <c r="F86" s="2" t="inlineStr">
        <is>
          <t>REAR WINDOW BROKEN</t>
        </is>
      </c>
      <c r="G86" s="8" t="n">
        <v>45768</v>
      </c>
      <c r="H86" s="3" t="n">
        <v>0</v>
      </c>
      <c r="I86" s="8" t="n"/>
    </row>
    <row r="87">
      <c r="A87" s="2" t="inlineStr">
        <is>
          <t>10B02057</t>
        </is>
      </c>
      <c r="B87" s="2" t="inlineStr">
        <is>
          <t>CHE MLT</t>
        </is>
      </c>
      <c r="C87" s="2" t="inlineStr">
        <is>
          <t>5 MXS</t>
        </is>
      </c>
      <c r="D87" s="2" t="inlineStr">
        <is>
          <t>5 MXS</t>
        </is>
      </c>
      <c r="E87" s="2" t="inlineStr">
        <is>
          <t>A050525B</t>
        </is>
      </c>
      <c r="F87" s="2" t="inlineStr">
        <is>
          <t>WIND DAMAGE PASSENGER DOOR, A-Pillar Damage</t>
        </is>
      </c>
      <c r="G87" s="8" t="n">
        <v>45782</v>
      </c>
      <c r="H87" s="3" t="n">
        <v>0</v>
      </c>
      <c r="I87" s="8" t="n"/>
    </row>
    <row r="88">
      <c r="A88" s="2" t="inlineStr">
        <is>
          <t>10E00687</t>
        </is>
      </c>
      <c r="B88" s="2" t="inlineStr">
        <is>
          <t>HYS FL6</t>
        </is>
      </c>
      <c r="C88" s="2" t="inlineStr">
        <is>
          <t>705 MUNS</t>
        </is>
      </c>
      <c r="D88" s="2" t="inlineStr">
        <is>
          <t>705 MUNS</t>
        </is>
      </c>
      <c r="E88" s="2" t="inlineStr">
        <is>
          <t>A051225C</t>
        </is>
      </c>
      <c r="F88" s="2" t="inlineStr">
        <is>
          <t>BROKEN LEFT DOOR WINDOW</t>
        </is>
      </c>
      <c r="G88" s="8" t="n">
        <v>45789</v>
      </c>
      <c r="H88" s="3" t="n">
        <v>0</v>
      </c>
      <c r="I88" s="8" t="n"/>
    </row>
    <row r="89">
      <c r="A89" s="2" t="inlineStr">
        <is>
          <t>10B02066</t>
        </is>
      </c>
      <c r="B89" s="2" t="inlineStr">
        <is>
          <t>CHE MLT</t>
        </is>
      </c>
      <c r="C89" s="2" t="inlineStr">
        <is>
          <t>5 MXS</t>
        </is>
      </c>
      <c r="D89" s="2" t="inlineStr">
        <is>
          <t>5 MXS</t>
        </is>
      </c>
      <c r="E89" s="2" t="inlineStr">
        <is>
          <t>A051525A</t>
        </is>
      </c>
      <c r="F89" s="2" t="inlineStr">
        <is>
          <t xml:space="preserve">WIND DAMAGE BOTH DOORS, BOTH FRONT FENDERS, BOX SIDE WINDOW BROKEN, SLIDING DOOR BROKEN, </t>
        </is>
      </c>
      <c r="G89" s="8" t="n">
        <v>45792</v>
      </c>
      <c r="H89" s="3" t="n">
        <v>0</v>
      </c>
      <c r="I89" s="8" t="n"/>
    </row>
    <row r="90">
      <c r="A90" s="2" t="inlineStr">
        <is>
          <t>16B00104</t>
        </is>
      </c>
      <c r="B90" s="2" t="inlineStr">
        <is>
          <t>FRD/VAN</t>
        </is>
      </c>
      <c r="C90" s="2" t="inlineStr">
        <is>
          <t>5 MXS</t>
        </is>
      </c>
      <c r="D90" s="2" t="inlineStr">
        <is>
          <t>5 MXS</t>
        </is>
      </c>
      <c r="E90" s="2" t="inlineStr">
        <is>
          <t>A051925A</t>
        </is>
      </c>
      <c r="F90" s="2" t="inlineStr">
        <is>
          <t>WIND DAMAGE TO PASSENGER DOOR AND FENDER</t>
        </is>
      </c>
      <c r="G90" s="8" t="n">
        <v>45796</v>
      </c>
      <c r="H90" s="3" t="n">
        <v>0</v>
      </c>
      <c r="I90" s="8" t="n"/>
    </row>
    <row r="91">
      <c r="A91" s="2" t="inlineStr">
        <is>
          <t>08B00412</t>
        </is>
      </c>
      <c r="B91" s="2" t="inlineStr">
        <is>
          <t>IHC CGO</t>
        </is>
      </c>
      <c r="C91" s="2" t="inlineStr">
        <is>
          <t>5 MUNS</t>
        </is>
      </c>
      <c r="D91" s="2" t="inlineStr">
        <is>
          <t>5 MUNS</t>
        </is>
      </c>
      <c r="E91" s="2" t="inlineStr">
        <is>
          <t>F052925A</t>
        </is>
      </c>
      <c r="F91" s="2" t="inlineStr">
        <is>
          <t>PASS SIDE HOOD/FENDER DAMAGED</t>
        </is>
      </c>
      <c r="G91" s="8" t="n">
        <v>45806</v>
      </c>
      <c r="H91" s="3" t="n">
        <v>0</v>
      </c>
      <c r="I91" s="8" t="n"/>
    </row>
    <row r="92">
      <c r="A92" s="2" t="inlineStr">
        <is>
          <t>16B00105</t>
        </is>
      </c>
      <c r="B92" s="2" t="inlineStr">
        <is>
          <t>FRD/VAN</t>
        </is>
      </c>
      <c r="C92" s="2" t="inlineStr">
        <is>
          <t>5 MXS</t>
        </is>
      </c>
      <c r="D92" s="2" t="inlineStr">
        <is>
          <t>5 MXS</t>
        </is>
      </c>
      <c r="E92" s="2" t="inlineStr">
        <is>
          <t>A060925A</t>
        </is>
      </c>
      <c r="F92" s="2" t="inlineStr">
        <is>
          <t>WIND DAMAGE BOTH DOORS, SLIDING DOOR, WIRE HARNESS COVER, STEP ACCESS PLATE</t>
        </is>
      </c>
      <c r="G92" s="8" t="n">
        <v>45817</v>
      </c>
      <c r="H92" s="3" t="n">
        <v>0</v>
      </c>
      <c r="I92" s="8" t="n"/>
    </row>
    <row r="93">
      <c r="A93" s="2" t="inlineStr">
        <is>
          <t>16B00105</t>
        </is>
      </c>
      <c r="B93" s="2" t="inlineStr">
        <is>
          <t>FRD/VAN</t>
        </is>
      </c>
      <c r="C93" s="2" t="inlineStr">
        <is>
          <t>5 MXS</t>
        </is>
      </c>
      <c r="D93" s="2" t="inlineStr">
        <is>
          <t>5 MXS</t>
        </is>
      </c>
      <c r="E93" s="2" t="inlineStr">
        <is>
          <t>F060925A</t>
        </is>
      </c>
      <c r="F93" s="2" t="inlineStr">
        <is>
          <t>LEFT REAR QUATER PANEL</t>
        </is>
      </c>
      <c r="G93" s="8" t="n">
        <v>45817</v>
      </c>
      <c r="H93" s="3" t="n">
        <v>0</v>
      </c>
      <c r="I93" s="8" t="n"/>
    </row>
    <row r="94">
      <c r="A94" s="2" t="inlineStr">
        <is>
          <t>07C00267</t>
        </is>
      </c>
      <c r="B94" s="2" t="inlineStr">
        <is>
          <t>FRD BOBTAIL</t>
        </is>
      </c>
      <c r="C94" s="2" t="inlineStr">
        <is>
          <t>5 MXS</t>
        </is>
      </c>
      <c r="D94" s="2" t="inlineStr">
        <is>
          <t>5 MXS</t>
        </is>
      </c>
      <c r="E94" s="2" t="inlineStr">
        <is>
          <t>F061625A</t>
        </is>
      </c>
      <c r="F94" s="2" t="inlineStr">
        <is>
          <t>RIGHT FRONT FENDER, GRILL AND HOOD</t>
        </is>
      </c>
      <c r="G94" s="8" t="n">
        <v>45824</v>
      </c>
      <c r="H94" s="3" t="n">
        <v>0</v>
      </c>
      <c r="I94" s="8" t="n"/>
    </row>
    <row r="95">
      <c r="A95" s="2" t="inlineStr">
        <is>
          <t>11B01320</t>
        </is>
      </c>
      <c r="B95" s="2" t="inlineStr">
        <is>
          <t>CHE MLT</t>
        </is>
      </c>
      <c r="C95" s="2" t="inlineStr">
        <is>
          <t>23 BGS</t>
        </is>
      </c>
      <c r="D95" s="2" t="inlineStr">
        <is>
          <t>23 BGS</t>
        </is>
      </c>
      <c r="E95" s="2" t="inlineStr">
        <is>
          <t>A062425B</t>
        </is>
      </c>
      <c r="F95" s="2" t="inlineStr">
        <is>
          <t>WIND DAMAGE BOTH DOORS, A PILLARS</t>
        </is>
      </c>
      <c r="G95" s="8" t="n">
        <v>45832</v>
      </c>
      <c r="H95" s="3" t="n"/>
      <c r="I95" s="8" t="n"/>
    </row>
    <row r="96">
      <c r="A96" s="2" t="inlineStr">
        <is>
          <t>16E00057</t>
        </is>
      </c>
      <c r="B96" s="2" t="e">
        <v>#N/A</v>
      </c>
      <c r="C96" s="2" t="inlineStr">
        <is>
          <t>5 MUNS</t>
        </is>
      </c>
      <c r="D96" s="2" t="inlineStr">
        <is>
          <t>5 MUNS</t>
        </is>
      </c>
      <c r="E96" s="2" t="inlineStr">
        <is>
          <t>A062525A</t>
        </is>
      </c>
      <c r="F96" s="2" t="inlineStr">
        <is>
          <t>TIRE</t>
        </is>
      </c>
      <c r="G96" s="8" t="n">
        <v>45833</v>
      </c>
      <c r="H96" s="3" t="n">
        <v>0</v>
      </c>
      <c r="I96" s="8" t="n"/>
    </row>
    <row r="97">
      <c r="A97" s="2" t="inlineStr">
        <is>
          <t>16B00203</t>
        </is>
      </c>
      <c r="B97" s="2" t="inlineStr">
        <is>
          <t>CHE PU</t>
        </is>
      </c>
      <c r="C97" s="2" t="inlineStr">
        <is>
          <t>705 MUNS</t>
        </is>
      </c>
      <c r="D97" s="2" t="inlineStr">
        <is>
          <t>705 MUNS</t>
        </is>
      </c>
      <c r="E97" s="2" t="inlineStr">
        <is>
          <t>A063025C</t>
        </is>
      </c>
      <c r="F97" s="2" t="inlineStr">
        <is>
          <t>Rear Bumper</t>
        </is>
      </c>
      <c r="G97" s="8" t="n">
        <v>45838</v>
      </c>
      <c r="H97" s="3" t="n">
        <v>0</v>
      </c>
      <c r="I97" s="8" t="n"/>
    </row>
    <row r="98">
      <c r="A98" s="2" t="inlineStr">
        <is>
          <t>10E00759</t>
        </is>
      </c>
      <c r="B98" s="2" t="e">
        <v>#N/A</v>
      </c>
      <c r="C98" s="2" t="inlineStr">
        <is>
          <t>5 MUNS</t>
        </is>
      </c>
      <c r="D98" s="2" t="inlineStr">
        <is>
          <t>5 MUNS</t>
        </is>
      </c>
      <c r="E98" s="2" t="inlineStr">
        <is>
          <t>A070125A</t>
        </is>
      </c>
      <c r="F98" s="2" t="inlineStr">
        <is>
          <t xml:space="preserve">FLAT TIRES </t>
        </is>
      </c>
      <c r="G98" s="8" t="n">
        <v>45839</v>
      </c>
      <c r="H98" s="3" t="n">
        <v>0</v>
      </c>
      <c r="I98" s="8" t="n"/>
    </row>
    <row r="99">
      <c r="A99" s="2" t="inlineStr">
        <is>
          <t>16B00935</t>
        </is>
      </c>
      <c r="B99" s="2" t="inlineStr">
        <is>
          <t>GLOBE TRLR</t>
        </is>
      </c>
      <c r="C99" s="2" t="inlineStr">
        <is>
          <t>5 MUNS</t>
        </is>
      </c>
      <c r="D99" s="2" t="inlineStr">
        <is>
          <t>5 MUNS</t>
        </is>
      </c>
      <c r="E99" s="2" t="inlineStr">
        <is>
          <t>F070125A</t>
        </is>
      </c>
      <c r="F99" s="2" t="inlineStr">
        <is>
          <t>BENT FRAME/RAILS</t>
        </is>
      </c>
      <c r="G99" s="8" t="n">
        <v>45839</v>
      </c>
      <c r="H99" s="3" t="n">
        <v>0</v>
      </c>
      <c r="I99" s="8" t="n"/>
    </row>
    <row r="100">
      <c r="A100" s="2" t="inlineStr">
        <is>
          <t>16E00059</t>
        </is>
      </c>
      <c r="B100" s="2" t="e">
        <v>#N/A</v>
      </c>
      <c r="C100" s="2" t="inlineStr">
        <is>
          <t>5 MUNS</t>
        </is>
      </c>
      <c r="D100" s="2" t="inlineStr">
        <is>
          <t>5 MUNS</t>
        </is>
      </c>
      <c r="E100" s="2" t="inlineStr">
        <is>
          <t>A072325A</t>
        </is>
      </c>
      <c r="F100" s="2" t="inlineStr">
        <is>
          <t>PAINT AND METAL SCUFFS</t>
        </is>
      </c>
      <c r="G100" s="8" t="n">
        <v>45861</v>
      </c>
      <c r="H100" s="3" t="n"/>
      <c r="I100" s="8" t="n"/>
    </row>
    <row r="101">
      <c r="A101" s="2" t="inlineStr">
        <is>
          <t>16C00115</t>
        </is>
      </c>
      <c r="B101" s="2" t="inlineStr">
        <is>
          <t>FRD B/T</t>
        </is>
      </c>
      <c r="C101" s="2" t="inlineStr">
        <is>
          <t>5 MXS</t>
        </is>
      </c>
      <c r="D101" s="2" t="inlineStr">
        <is>
          <t>5 MXS</t>
        </is>
      </c>
      <c r="E101" s="2" t="inlineStr">
        <is>
          <t>F072325A</t>
        </is>
      </c>
      <c r="F101" s="2" t="inlineStr">
        <is>
          <t>DENTS FRONT BUMPER</t>
        </is>
      </c>
      <c r="G101" s="8" t="n">
        <v>45861</v>
      </c>
      <c r="H101" s="3" t="n">
        <v>0</v>
      </c>
      <c r="I101" s="8" t="n"/>
    </row>
    <row r="102">
      <c r="A102" s="2" t="inlineStr">
        <is>
          <t>10B02065</t>
        </is>
      </c>
      <c r="B102" s="2" t="inlineStr">
        <is>
          <t>CHE MLT</t>
        </is>
      </c>
      <c r="C102" s="2" t="inlineStr">
        <is>
          <t>5 MXS</t>
        </is>
      </c>
      <c r="D102" s="2" t="inlineStr">
        <is>
          <t>5 MXG</t>
        </is>
      </c>
      <c r="E102" s="2" t="inlineStr">
        <is>
          <t>A072325B</t>
        </is>
      </c>
      <c r="F102" s="2" t="inlineStr">
        <is>
          <t>WIND DAMAGE BOTH DOORS, A PILLARS AND BOTH FRONT FENDERS</t>
        </is>
      </c>
      <c r="G102" s="8" t="n">
        <v>45861</v>
      </c>
      <c r="H102" s="3" t="n"/>
      <c r="I102" s="8" t="n"/>
    </row>
    <row r="103">
      <c r="A103" s="2" t="inlineStr">
        <is>
          <t>16B00106</t>
        </is>
      </c>
      <c r="B103" s="2" t="inlineStr">
        <is>
          <t>FRD/VAN</t>
        </is>
      </c>
      <c r="C103" s="2" t="inlineStr">
        <is>
          <t>5 MXS</t>
        </is>
      </c>
      <c r="D103" s="2" t="inlineStr">
        <is>
          <t>5 MXG</t>
        </is>
      </c>
      <c r="E103" s="2" t="inlineStr">
        <is>
          <t>A072425A</t>
        </is>
      </c>
      <c r="F103" s="2" t="inlineStr">
        <is>
          <t>DENT AND BROKEN REAR DOOR HANDLE</t>
        </is>
      </c>
      <c r="G103" s="8" t="n">
        <v>45862</v>
      </c>
      <c r="H103" s="3" t="n">
        <v>0</v>
      </c>
      <c r="I103" s="8" t="n"/>
    </row>
    <row r="104">
      <c r="A104" s="2" t="inlineStr">
        <is>
          <t>09D00327</t>
        </is>
      </c>
      <c r="B104" s="2" t="inlineStr">
        <is>
          <t>ARV CRN</t>
        </is>
      </c>
      <c r="C104" s="2" t="inlineStr">
        <is>
          <t>5 AMXS</t>
        </is>
      </c>
      <c r="D104" s="2" t="inlineStr">
        <is>
          <t>5 AMXS</t>
        </is>
      </c>
      <c r="E104" s="2" t="inlineStr">
        <is>
          <t>F073025A</t>
        </is>
      </c>
      <c r="F104" s="2" t="inlineStr">
        <is>
          <t>DENT IN CAB</t>
        </is>
      </c>
      <c r="G104" s="8" t="n">
        <v>45868</v>
      </c>
      <c r="H104" s="3" t="n">
        <v>0</v>
      </c>
      <c r="I104" s="8" t="n"/>
    </row>
    <row r="105">
      <c r="A105" s="2" t="inlineStr">
        <is>
          <t>10B00986</t>
        </is>
      </c>
      <c r="B105" s="2" t="inlineStr">
        <is>
          <t>FRD P/U</t>
        </is>
      </c>
      <c r="C105" s="2" t="inlineStr">
        <is>
          <t>705 MUNS</t>
        </is>
      </c>
      <c r="D105" s="2" t="inlineStr">
        <is>
          <t>705 MUNS</t>
        </is>
      </c>
      <c r="E105" s="2" t="inlineStr">
        <is>
          <t>A073025A</t>
        </is>
      </c>
      <c r="F105" s="2" t="inlineStr">
        <is>
          <t xml:space="preserve">AIR VENTS, CENTER CONSOLE, REAR TAIL LIGHT </t>
        </is>
      </c>
      <c r="G105" s="8" t="n">
        <v>45868</v>
      </c>
      <c r="H105" s="3" t="n">
        <v>0</v>
      </c>
      <c r="I105" s="8" t="n"/>
    </row>
    <row r="106">
      <c r="A106" s="2" t="inlineStr">
        <is>
          <t>10B02060</t>
        </is>
      </c>
      <c r="B106" s="2" t="inlineStr">
        <is>
          <t>CHE MLT</t>
        </is>
      </c>
      <c r="C106" s="2" t="inlineStr">
        <is>
          <t>5 AMXS</t>
        </is>
      </c>
      <c r="D106" s="2" t="inlineStr">
        <is>
          <t>5 AMXS</t>
        </is>
      </c>
      <c r="E106" s="2" t="inlineStr">
        <is>
          <t>A080425A</t>
        </is>
      </c>
      <c r="F106" s="2" t="inlineStr">
        <is>
          <t>WIND DAMAGE BOTH DOORS, A PILLARS</t>
        </is>
      </c>
      <c r="G106" s="8" t="n">
        <v>45873</v>
      </c>
      <c r="H106" s="3" t="n"/>
      <c r="I106" s="8" t="n"/>
    </row>
    <row r="107">
      <c r="A107" s="2" t="inlineStr">
        <is>
          <t>22C00176</t>
        </is>
      </c>
      <c r="B107" s="2" t="e">
        <v>#N/A</v>
      </c>
      <c r="C107" s="2" t="inlineStr">
        <is>
          <t>5 AMXS</t>
        </is>
      </c>
      <c r="D107" s="2" t="inlineStr">
        <is>
          <t>5 AMXS</t>
        </is>
      </c>
      <c r="E107" s="2" t="inlineStr">
        <is>
          <t>A082025A</t>
        </is>
      </c>
      <c r="F107" s="2" t="inlineStr">
        <is>
          <t>WATER HEATER AND WINTERIZATION SINGLE PHASE OUTLETS ARE BROKEN</t>
        </is>
      </c>
      <c r="G107" s="8" t="n">
        <v>45889</v>
      </c>
      <c r="H107" s="3" t="n">
        <v>0</v>
      </c>
      <c r="I107" s="8" t="n"/>
    </row>
    <row r="108">
      <c r="A108" s="2" t="inlineStr">
        <is>
          <t>16B00107</t>
        </is>
      </c>
      <c r="B108" s="2" t="inlineStr">
        <is>
          <t>FRD/VAN</t>
        </is>
      </c>
      <c r="C108" s="2" t="inlineStr">
        <is>
          <t>5 MXS</t>
        </is>
      </c>
      <c r="D108" s="2" t="inlineStr">
        <is>
          <t>5 MXS</t>
        </is>
      </c>
      <c r="E108" s="2" t="inlineStr">
        <is>
          <t>A082525A</t>
        </is>
      </c>
      <c r="F108" s="2" t="inlineStr">
        <is>
          <t>FUEL DOOR</t>
        </is>
      </c>
      <c r="G108" s="8" t="n">
        <v>45894</v>
      </c>
      <c r="H108" s="3" t="n">
        <v>0</v>
      </c>
      <c r="I108" s="8" t="n"/>
    </row>
    <row r="109">
      <c r="A109" s="2" t="inlineStr">
        <is>
          <t>10B02068</t>
        </is>
      </c>
      <c r="B109" s="2" t="inlineStr">
        <is>
          <t>CHE MLT</t>
        </is>
      </c>
      <c r="C109" s="2" t="inlineStr">
        <is>
          <t>23 BGS</t>
        </is>
      </c>
      <c r="D109" s="2" t="inlineStr">
        <is>
          <t>23 BGS</t>
        </is>
      </c>
      <c r="E109" s="2" t="inlineStr">
        <is>
          <t>F092425B</t>
        </is>
      </c>
      <c r="F109" s="2" t="inlineStr">
        <is>
          <t>DRIVER'S DOOR DAMAGED FROM ACCIDENT, HOLE IN AIRBAG COVER, PASS DOOR RIPPED AND DOOR HANDLE BROKEN</t>
        </is>
      </c>
      <c r="G109" s="8" t="n">
        <v>45924</v>
      </c>
      <c r="H109" s="3" t="n">
        <v>0</v>
      </c>
      <c r="I109" s="8" t="n"/>
    </row>
    <row r="110">
      <c r="A110" s="2" t="inlineStr">
        <is>
          <t>11B01404</t>
        </is>
      </c>
      <c r="B110" s="2" t="inlineStr">
        <is>
          <t>CHE MLT</t>
        </is>
      </c>
      <c r="C110" s="2" t="inlineStr">
        <is>
          <t>23 BGS</t>
        </is>
      </c>
      <c r="D110" s="2" t="inlineStr">
        <is>
          <t>23 BGS</t>
        </is>
      </c>
      <c r="E110" s="2" t="inlineStr">
        <is>
          <t>A092525A</t>
        </is>
      </c>
      <c r="F110" s="2" t="inlineStr">
        <is>
          <t>WIND DAMAGE BOTH DOORS, A PILLARS</t>
        </is>
      </c>
      <c r="G110" s="8" t="n">
        <v>45925</v>
      </c>
      <c r="H110" s="3" t="n">
        <v>0</v>
      </c>
      <c r="I110" s="8" t="n"/>
    </row>
    <row r="111">
      <c r="A111" s="2" t="inlineStr">
        <is>
          <t>11B01403</t>
        </is>
      </c>
      <c r="B111" s="2" t="inlineStr">
        <is>
          <t>CHE MLT</t>
        </is>
      </c>
      <c r="C111" s="2" t="inlineStr">
        <is>
          <t>23 BGS</t>
        </is>
      </c>
      <c r="D111" s="2" t="inlineStr">
        <is>
          <t>23 BGS</t>
        </is>
      </c>
      <c r="E111" s="2" t="inlineStr">
        <is>
          <t>A092525B</t>
        </is>
      </c>
      <c r="F111" s="2" t="inlineStr">
        <is>
          <t>WIND DAMAGE BOTH DOORS, A PILLARS, HOOD DENTED AND REAR DOOR METAL STRIP</t>
        </is>
      </c>
      <c r="G111" s="8" t="n">
        <v>45925</v>
      </c>
      <c r="H111" s="3" t="n">
        <v>0</v>
      </c>
      <c r="I111" s="8" t="n"/>
    </row>
    <row r="112">
      <c r="A112" s="2" t="inlineStr">
        <is>
          <t>11B01320</t>
        </is>
      </c>
      <c r="B112" s="2" t="inlineStr">
        <is>
          <t>CHE MLT</t>
        </is>
      </c>
      <c r="C112" s="2" t="inlineStr">
        <is>
          <t>23 BGS</t>
        </is>
      </c>
      <c r="D112" s="2" t="inlineStr">
        <is>
          <t>23 BGS</t>
        </is>
      </c>
      <c r="E112" s="2" t="inlineStr">
        <is>
          <t>A100125A</t>
        </is>
      </c>
      <c r="F112" s="2" t="inlineStr">
        <is>
          <t>WIND DAMAGE BOTH DOORS, A PILLARS</t>
        </is>
      </c>
      <c r="G112" s="8" t="n">
        <v>45931</v>
      </c>
      <c r="H112" s="3" t="n">
        <v>0</v>
      </c>
      <c r="I112" s="8" t="n"/>
    </row>
    <row r="113">
      <c r="A113" s="2" t="inlineStr">
        <is>
          <t>15B00066</t>
        </is>
      </c>
      <c r="B113" s="2" t="inlineStr">
        <is>
          <t>DOD P/U</t>
        </is>
      </c>
      <c r="C113" s="2" t="inlineStr">
        <is>
          <t>5 MXS</t>
        </is>
      </c>
      <c r="D113" s="2" t="inlineStr">
        <is>
          <t>5 MXS</t>
        </is>
      </c>
      <c r="E113" s="2" t="inlineStr">
        <is>
          <t>F101625A</t>
        </is>
      </c>
      <c r="F113" s="2" t="inlineStr">
        <is>
          <t>DENTED RIGHT REAR QUARTER PANEL, BROKE RIGHT REAR TAILLIGHT TABS</t>
        </is>
      </c>
      <c r="G113" s="8" t="n">
        <v>45946</v>
      </c>
      <c r="H113" s="3" t="n">
        <v>0</v>
      </c>
      <c r="I113" s="8" t="n"/>
    </row>
    <row r="114">
      <c r="A114" s="2" t="inlineStr">
        <is>
          <t>09E00632</t>
        </is>
      </c>
      <c r="B114" s="2" t="inlineStr">
        <is>
          <t>HYS FL4</t>
        </is>
      </c>
      <c r="C114" s="2" t="inlineStr">
        <is>
          <t>5 MUNS</t>
        </is>
      </c>
      <c r="D114" s="2" t="inlineStr">
        <is>
          <t>5 MUNS</t>
        </is>
      </c>
      <c r="E114" s="2" t="inlineStr">
        <is>
          <t>A102325A</t>
        </is>
      </c>
      <c r="F114" s="2" t="inlineStr">
        <is>
          <t>VEHICLE WAS DRIVEN ON A FLAT TIRE</t>
        </is>
      </c>
      <c r="G114" s="8" t="n">
        <v>45953</v>
      </c>
      <c r="H114" s="3" t="n">
        <v>0</v>
      </c>
      <c r="I114" s="8" t="n"/>
    </row>
    <row r="115">
      <c r="A115" s="2" t="inlineStr">
        <is>
          <t>08B01884</t>
        </is>
      </c>
      <c r="B115" s="2" t="inlineStr">
        <is>
          <t>FTL TRC</t>
        </is>
      </c>
      <c r="C115" s="2" t="inlineStr">
        <is>
          <t>5 MUNS</t>
        </is>
      </c>
      <c r="D115" s="2" t="inlineStr">
        <is>
          <t>5 MUNS</t>
        </is>
      </c>
      <c r="E115" s="2" t="inlineStr">
        <is>
          <t>A102425A</t>
        </is>
      </c>
      <c r="F115" s="2" t="inlineStr">
        <is>
          <t>BENT RIM</t>
        </is>
      </c>
      <c r="G115" s="8" t="n">
        <v>45954</v>
      </c>
      <c r="H115" s="3" t="n"/>
      <c r="I115" s="8" t="n"/>
    </row>
    <row r="116">
      <c r="A116" s="2" t="inlineStr">
        <is>
          <t>16B00113</t>
        </is>
      </c>
      <c r="B116" s="2" t="inlineStr">
        <is>
          <t>FRD/VAN</t>
        </is>
      </c>
      <c r="C116" s="2" t="inlineStr">
        <is>
          <t>5 LRS</t>
        </is>
      </c>
      <c r="D116" s="2" t="inlineStr">
        <is>
          <t>23 BGS</t>
        </is>
      </c>
      <c r="E116" s="2" t="inlineStr">
        <is>
          <t>A110525A</t>
        </is>
      </c>
      <c r="F116" s="2" t="inlineStr">
        <is>
          <t>PASSENGER DOOR AND FENDER DAMAGE</t>
        </is>
      </c>
      <c r="G116" s="8" t="n">
        <v>45966</v>
      </c>
      <c r="H116" s="3" t="n"/>
      <c r="I116" s="8" t="n"/>
    </row>
    <row r="117">
      <c r="A117" s="2" t="inlineStr">
        <is>
          <t>08B01137</t>
        </is>
      </c>
      <c r="B117" s="2" t="inlineStr">
        <is>
          <t>CHE P/U</t>
        </is>
      </c>
      <c r="C117" s="2" t="inlineStr">
        <is>
          <t>5 MXS</t>
        </is>
      </c>
      <c r="D117" s="2" t="inlineStr">
        <is>
          <t>5 MXS</t>
        </is>
      </c>
      <c r="E117" s="2" t="inlineStr">
        <is>
          <t>F111425A</t>
        </is>
      </c>
      <c r="F117" s="2" t="inlineStr">
        <is>
          <t>REAR BUMPER, QUARTER PANEL AND TAIL LIGHT</t>
        </is>
      </c>
      <c r="G117" s="8" t="n">
        <v>45975</v>
      </c>
      <c r="H117" s="3" t="n">
        <v>0</v>
      </c>
      <c r="I117" s="8" t="n"/>
    </row>
    <row r="118">
      <c r="A118" s="2" t="inlineStr">
        <is>
          <t>11B01318</t>
        </is>
      </c>
      <c r="B118" s="2" t="inlineStr">
        <is>
          <t>CHE MLT</t>
        </is>
      </c>
      <c r="C118" s="2" t="inlineStr">
        <is>
          <t>23 BGS</t>
        </is>
      </c>
      <c r="D118" s="2" t="inlineStr">
        <is>
          <t>23 BGS</t>
        </is>
      </c>
      <c r="E118" s="2" t="inlineStr">
        <is>
          <t>A120325A</t>
        </is>
      </c>
      <c r="F118" s="2" t="inlineStr">
        <is>
          <t>BOTH DOORS HAVE WIND DAMAGE AND BOTH A-PILLERS</t>
        </is>
      </c>
      <c r="G118" s="8" t="n">
        <v>45994</v>
      </c>
      <c r="H118" s="3" t="n"/>
      <c r="I118" s="8" t="n"/>
    </row>
    <row r="119">
      <c r="A119" s="2" t="inlineStr">
        <is>
          <t>11B01403</t>
        </is>
      </c>
      <c r="B119" s="2" t="inlineStr">
        <is>
          <t>CHE MLT</t>
        </is>
      </c>
      <c r="C119" s="2" t="inlineStr">
        <is>
          <t>69 BGS</t>
        </is>
      </c>
      <c r="D119" s="2" t="inlineStr">
        <is>
          <t>69 BGS</t>
        </is>
      </c>
      <c r="E119" s="2" t="inlineStr">
        <is>
          <t>A010826A</t>
        </is>
      </c>
      <c r="F119" s="2" t="inlineStr">
        <is>
          <t>HOOD DENT, A-PILLARS, REAR DOOR</t>
        </is>
      </c>
      <c r="G119" s="8" t="n">
        <v>46030</v>
      </c>
      <c r="H119" s="3" t="n">
        <v>0</v>
      </c>
      <c r="I119" s="8" t="n"/>
    </row>
    <row r="120">
      <c r="A120" s="2" t="inlineStr">
        <is>
          <t>09E00632</t>
        </is>
      </c>
      <c r="B120" s="2" t="inlineStr">
        <is>
          <t>HYS FL4</t>
        </is>
      </c>
      <c r="C120" s="2" t="inlineStr">
        <is>
          <t>5 MUNS</t>
        </is>
      </c>
      <c r="D120" s="2" t="inlineStr">
        <is>
          <t>5 MUNS</t>
        </is>
      </c>
      <c r="E120" s="2" t="inlineStr">
        <is>
          <t>F012126A</t>
        </is>
      </c>
      <c r="F120" s="2" t="inlineStr">
        <is>
          <t>P/S DOOR WINDOW</t>
        </is>
      </c>
      <c r="G120" s="8" t="n">
        <v>46043</v>
      </c>
      <c r="H120" s="3" t="n"/>
      <c r="I120" s="8" t="n"/>
    </row>
    <row r="121">
      <c r="A121" s="2" t="inlineStr">
        <is>
          <t>16B00100</t>
        </is>
      </c>
      <c r="B121" s="2" t="inlineStr">
        <is>
          <t>FRD/VAN</t>
        </is>
      </c>
      <c r="C121" s="2" t="inlineStr">
        <is>
          <t>5 MXS</t>
        </is>
      </c>
      <c r="D121" s="2" t="inlineStr">
        <is>
          <t>5 MXS</t>
        </is>
      </c>
      <c r="E121" s="2" t="inlineStr">
        <is>
          <t>A012326A</t>
        </is>
      </c>
      <c r="F121" s="2" t="inlineStr">
        <is>
          <t>P/S DOOR AND FENDER</t>
        </is>
      </c>
      <c r="G121" s="8" t="n">
        <v>46045</v>
      </c>
      <c r="H121" s="3" t="n"/>
      <c r="I121" s="8" t="n"/>
    </row>
    <row r="122">
      <c r="A122" s="2" t="inlineStr">
        <is>
          <t>10B02056</t>
        </is>
      </c>
      <c r="B122" s="2" t="inlineStr">
        <is>
          <t>CHE MLT</t>
        </is>
      </c>
      <c r="C122" s="2" t="inlineStr">
        <is>
          <t>5 MXS</t>
        </is>
      </c>
      <c r="D122" s="2" t="inlineStr">
        <is>
          <t>5 MXS</t>
        </is>
      </c>
      <c r="E122" s="2" t="inlineStr">
        <is>
          <t>A012626A</t>
        </is>
      </c>
      <c r="F122" s="2" t="inlineStr">
        <is>
          <t>WIND DAMAGE TO BOTH DOORS, PS FRONT FENDER</t>
        </is>
      </c>
      <c r="G122" s="8" t="n">
        <v>46048</v>
      </c>
      <c r="H122" s="3" t="n"/>
      <c r="I122" s="8" t="n"/>
    </row>
    <row r="123">
      <c r="A123" s="2" t="inlineStr">
        <is>
          <t>21B00173</t>
        </is>
      </c>
      <c r="B123" s="2" t="inlineStr">
        <is>
          <t>FRD/VAN</t>
        </is>
      </c>
      <c r="C123" s="2" t="inlineStr">
        <is>
          <t>BGS</t>
        </is>
      </c>
      <c r="D123" s="2" t="inlineStr">
        <is>
          <t>69 BGS</t>
        </is>
      </c>
      <c r="E123" s="2" t="inlineStr">
        <is>
          <t>A022326A</t>
        </is>
      </c>
      <c r="F123" s="2" t="inlineStr">
        <is>
          <t>WIND DAMAGE</t>
        </is>
      </c>
      <c r="G123" s="8" t="n">
        <v>46076</v>
      </c>
      <c r="H123" s="3" t="n"/>
      <c r="I123" s="8" t="n"/>
    </row>
    <row r="124">
      <c r="A124" s="2" t="inlineStr">
        <is>
          <t>16C00112</t>
        </is>
      </c>
      <c r="B124" s="2" t="inlineStr">
        <is>
          <t>FRD B/T</t>
        </is>
      </c>
      <c r="C124" s="2" t="inlineStr">
        <is>
          <t>5 MUNS</t>
        </is>
      </c>
      <c r="D124" s="2" t="inlineStr">
        <is>
          <t>5 MUNS</t>
        </is>
      </c>
      <c r="E124" s="2" t="inlineStr">
        <is>
          <t>F031626B</t>
        </is>
      </c>
      <c r="F124" s="2" t="inlineStr">
        <is>
          <t>SCUFF ON DRIVERS SIDE REAR BUMPER</t>
        </is>
      </c>
      <c r="G124" s="8" t="n">
        <v>46097</v>
      </c>
      <c r="H124" s="3" t="n"/>
      <c r="I124" s="8" t="n"/>
    </row>
  </sheetData>
  <autoFilter ref="A1:I12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2026-04-28T19:56:49Z</dcterms:created>
  <dcterms:modified xsi:type="dcterms:W3CDTF">2026-04-28T19:56:49Z</dcterms:modified>
</cp:coreProperties>
</file>